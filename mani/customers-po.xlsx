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ha\Desktop\"/>
    </mc:Choice>
  </mc:AlternateContent>
  <xr:revisionPtr revIDLastSave="0" documentId="13_ncr:1_{1F588A67-84A2-422D-B1AD-1903D589BCBB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Sheet1" sheetId="1" r:id="rId1"/>
  </sheets>
  <definedNames>
    <definedName name="_xlnm._FilterDatabase" localSheetId="0" hidden="1">Sheet1!$A$1:$Q$152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</calcChain>
</file>

<file path=xl/sharedStrings.xml><?xml version="1.0" encoding="utf-8"?>
<sst xmlns="http://schemas.openxmlformats.org/spreadsheetml/2006/main" count="921" uniqueCount="112">
  <si>
    <t>HSN</t>
  </si>
  <si>
    <t>Description</t>
  </si>
  <si>
    <t>MRP</t>
  </si>
  <si>
    <t>GST</t>
  </si>
  <si>
    <t>Customer Name</t>
  </si>
  <si>
    <t>PO Number</t>
  </si>
  <si>
    <t>Facility Name</t>
  </si>
  <si>
    <t>Facility Location</t>
  </si>
  <si>
    <t>PO Date</t>
  </si>
  <si>
    <t>PO Expiry Date</t>
  </si>
  <si>
    <t>Item Code</t>
  </si>
  <si>
    <t>Basic Rate</t>
  </si>
  <si>
    <t>Net Landing Rate</t>
  </si>
  <si>
    <t>PO Quantity</t>
  </si>
  <si>
    <t>SKU Code</t>
  </si>
  <si>
    <t xml:space="preserve"> INNOVATIVE RETAIL CONCEPTS PRIVATE LIMITED- BANGALORE ( BRBLR001 )</t>
  </si>
  <si>
    <t>Bangalore-FMCG-DC</t>
  </si>
  <si>
    <t>INNOVATIVE RETAIL CONCEPTS PRIVATE LIMITED - Ahmedabad-FV-FMCG-DC</t>
  </si>
  <si>
    <t>INNOVATIVE RETAIL CONCEPTS PRIVATE LIMITED - Bangalore-2</t>
  </si>
  <si>
    <t>INNOVATIVE RETAIL CONCEPTS PRIVATE LIMITED - Hyderabad</t>
  </si>
  <si>
    <t>INNOVATIVE RETAIL CONCEPTS PRIVATE LIMITED - Kolkatta</t>
  </si>
  <si>
    <t>Innovative Retail Concepts Pvt Ltd - Mumbai-GM-NDC</t>
  </si>
  <si>
    <t>INNOVATIVE RETAIL CONCEPTS PRIVATE LIMITED- GREATER NOIDA</t>
  </si>
  <si>
    <t>INNOVATIVE RETAIL CONCEPTS PRIVATE LIMITED - CHENNAI</t>
  </si>
  <si>
    <t>Innovative Retail Concepts Pvt Ltd - Pune-FV- FMCG-DC</t>
  </si>
  <si>
    <t>Ahmedabad-FV-FMCG-DC</t>
  </si>
  <si>
    <t>Bangalore-2-FV-FMCG-DC</t>
  </si>
  <si>
    <t>Hyderabad-FV-FMCG DC</t>
  </si>
  <si>
    <t>Kolkatta-FMCG-DC</t>
  </si>
  <si>
    <t>Kundli-DC</t>
  </si>
  <si>
    <t>Mumbai-GM-NDC</t>
  </si>
  <si>
    <t>Noida-New-FC</t>
  </si>
  <si>
    <t>IRA42019662</t>
  </si>
  <si>
    <t>IRA42794916</t>
  </si>
  <si>
    <t>IRA42021338</t>
  </si>
  <si>
    <t>IRM43286000</t>
  </si>
  <si>
    <t>IRA42023619</t>
  </si>
  <si>
    <t>IRA42796858</t>
  </si>
  <si>
    <t>IRA42802510</t>
  </si>
  <si>
    <t>IRA42801853</t>
  </si>
  <si>
    <t>IRA42022767</t>
  </si>
  <si>
    <t>IRA42024939</t>
  </si>
  <si>
    <t>IRM43285708</t>
  </si>
  <si>
    <t>IRA42019435</t>
  </si>
  <si>
    <t>IRA42798689</t>
  </si>
  <si>
    <t>IRA42794621</t>
  </si>
  <si>
    <t>IRM43286163</t>
  </si>
  <si>
    <t>IRM43286005</t>
  </si>
  <si>
    <t>IRA42017667</t>
  </si>
  <si>
    <t>IRA42797623</t>
  </si>
  <si>
    <t>IRA42800564</t>
  </si>
  <si>
    <t>IRA42799162</t>
  </si>
  <si>
    <t>IRA42804074</t>
  </si>
  <si>
    <t>IRM43286209</t>
  </si>
  <si>
    <t>IRA42015441</t>
  </si>
  <si>
    <t>IRM43286575</t>
  </si>
  <si>
    <t>IRM43285647</t>
  </si>
  <si>
    <t>IRA42020772</t>
  </si>
  <si>
    <t>IRM43285967</t>
  </si>
  <si>
    <t>IRM43286219</t>
  </si>
  <si>
    <t>IRM43286539</t>
  </si>
  <si>
    <t>IRM43286162</t>
  </si>
  <si>
    <t>IRM43286208</t>
  </si>
  <si>
    <t>IRA42800565</t>
  </si>
  <si>
    <t>IRA42796859</t>
  </si>
  <si>
    <t>Pune-FV- FMCG-DC</t>
  </si>
  <si>
    <t>Chennai-FMCG-DC</t>
  </si>
  <si>
    <t>TH8AL</t>
  </si>
  <si>
    <t>CT9</t>
  </si>
  <si>
    <t>KSM-235</t>
  </si>
  <si>
    <t>TD11</t>
  </si>
  <si>
    <t>KSM600</t>
  </si>
  <si>
    <t>IC4IF</t>
  </si>
  <si>
    <t xml:space="preserve">JR245 4 piece </t>
  </si>
  <si>
    <t>TH10ALG</t>
  </si>
  <si>
    <t>TH10SQ</t>
  </si>
  <si>
    <t>JR275CL</t>
  </si>
  <si>
    <t>KS-0600 ( set of 4)</t>
  </si>
  <si>
    <t>ISS-0495-0380 (magnus)</t>
  </si>
  <si>
    <t>KSM-300 WOODY</t>
  </si>
  <si>
    <t>GS1700</t>
  </si>
  <si>
    <t>PJS-1000</t>
  </si>
  <si>
    <t>KSM-1000 WOODY</t>
  </si>
  <si>
    <t>B6FL</t>
  </si>
  <si>
    <t>CT6-P0</t>
  </si>
  <si>
    <t>PJS-550</t>
  </si>
  <si>
    <t>TH9THD</t>
  </si>
  <si>
    <t>KR-0600 ( set of 4 )</t>
  </si>
  <si>
    <t>TB10</t>
  </si>
  <si>
    <t>Yera Prima Milan Zest Glass Tumbler 240 ml</t>
  </si>
  <si>
    <t>Yera Premium Glass Coffee Teacups/Mugs 240 ml</t>
  </si>
  <si>
    <t>Yera Classic Square Jar - With Stainless Steel Lid 240 ml</t>
  </si>
  <si>
    <t>Yera Prima Pyramid Zest Glass Tumbler 275 ml</t>
  </si>
  <si>
    <t>Yera Glass Storage Jar - With Steel See Through Lid 595 ml</t>
  </si>
  <si>
    <t>Yera Glass Bowl 125 ml</t>
  </si>
  <si>
    <t>Yera Glass Jar Set With Blue Printed Lids - Small 245 ml</t>
  </si>
  <si>
    <t>Yera Prima Zest Whiskey Glass Tumbler 290 ml</t>
  </si>
  <si>
    <t>Yera Prima Oak Whiskey Glass Tumbler 295 ml</t>
  </si>
  <si>
    <t>Yera Round Storage Jar - With Plastic Capsicum Lid, Plain Design, Ideal For Storing Snacks &amp; Pickles 280 ml</t>
  </si>
  <si>
    <t>Yera Glass Jar - With Blue Lid, Square, Pantry/Cookie/Snacks 580 ml</t>
  </si>
  <si>
    <t>Yera Mason Jar With Lid - Transparent 440 ml</t>
  </si>
  <si>
    <t>Yera Square Borosilicate Glass Jar - With Wooden Lid 320 ml</t>
  </si>
  <si>
    <t>Yera Premium Glass Water Jug 1.6 L</t>
  </si>
  <si>
    <t>Yera Glass Square Clear Jar 1 L</t>
  </si>
  <si>
    <t>Yera Square Glass Jar - With Wooden Finish Lid 1 L</t>
  </si>
  <si>
    <t>Yera Glass Bowl - Plain, Lightweight 170 ml</t>
  </si>
  <si>
    <t>Yera Tea/Coffee Glass Mug Set 165 ml</t>
  </si>
  <si>
    <t>Yera Glass Square Clear Jar 575 ml</t>
  </si>
  <si>
    <t>Yera Prima Austin Zest Glass Tumbler 245 ml</t>
  </si>
  <si>
    <t>Yera Pantry/Cookie/Snacks Round Glass Jar With Blue Lid 580 ml</t>
  </si>
  <si>
    <t>Yera Prima Berlin Zest Glass Tumbler 260 ml</t>
  </si>
  <si>
    <t>Innovative Retail Concepts Private Limited - Kundli-DC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</si>
</sst>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14" fontId="1" fillId="0" borderId="1" xfId="0" applyNumberFormat="1" applyFont="1" applyFill="1" applyBorder="1" applyAlignment="1">
      <alignment horizontal="center" vertical="top"/>
    </xf>
    <xf numFmtId="1" fontId="1" fillId="0" borderId="1" xfId="0" applyNumberFormat="1" applyFont="1" applyFill="1" applyBorder="1" applyAlignment="1">
      <alignment horizontal="center" vertical="top"/>
    </xf>
    <xf numFmtId="2" fontId="1" fillId="0" borderId="1" xfId="0" applyNumberFormat="1" applyFont="1" applyFill="1" applyBorder="1" applyAlignment="1">
      <alignment horizontal="center" vertical="top"/>
    </xf>
    <xf numFmtId="0" fontId="0" fillId="0" borderId="0" xfId="0" applyFill="1"/>
    <xf numFmtId="2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4" fontId="1" fillId="2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Fill="1"/>
    <xf numFmtId="14" fontId="0" fillId="0" borderId="1" xfId="0" applyNumberFormat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2"/>
  <sheetViews>
    <sheetView tabSelected="1" topLeftCell="E1" workbookViewId="0">
      <pane ySplit="1" topLeftCell="A2" activePane="bottomLeft" state="frozen"/>
      <selection pane="bottomLeft" activeCell="P2" sqref="P2"/>
    </sheetView>
  </sheetViews>
  <sheetFormatPr defaultRowHeight="14.5" x14ac:dyDescent="0.35"/>
  <cols>
    <col min="1" max="1" width="8.7265625" style="5"/>
    <col min="2" max="2" width="15.453125" style="12" bestFit="1" customWidth="1"/>
    <col min="3" max="3" width="12.453125" style="8" bestFit="1" customWidth="1"/>
    <col min="4" max="4" width="24.7265625" style="8" bestFit="1" customWidth="1"/>
    <col min="5" max="5" width="13.1796875" style="12" bestFit="1" customWidth="1"/>
    <col min="6" max="6" width="22.54296875" style="12" bestFit="1" customWidth="1"/>
    <col min="7" max="7" width="12.26953125" style="15" bestFit="1" customWidth="1"/>
    <col min="8" max="8" width="14.1796875" style="14" bestFit="1" customWidth="1"/>
    <col min="9" max="9" width="12.26953125" style="16" bestFit="1" customWidth="1"/>
    <col min="10" max="10" width="10.1796875" style="8" bestFit="1" customWidth="1"/>
    <col min="11" max="11" width="11.1796875" style="5" bestFit="1" customWidth="1"/>
    <col min="12" max="12" width="9.81640625" style="5" bestFit="1" customWidth="1"/>
    <col min="13" max="13" width="4.453125" style="5" bestFit="1" customWidth="1"/>
    <col min="14" max="14" width="16.1796875" style="6" bestFit="1" customWidth="1"/>
    <col min="15" max="15" width="7.36328125" style="19" bestFit="1" customWidth="1"/>
    <col min="16" max="16" width="11.7265625" style="8" bestFit="1" customWidth="1"/>
    <col min="17" max="16384" width="8.7265625" style="5"/>
  </cols>
  <sheetData>
    <row r="1" spans="1:16" x14ac:dyDescent="0.35">
      <c r="B1" s="10" t="s">
        <v>4</v>
      </c>
      <c r="C1" s="1" t="s">
        <v>5</v>
      </c>
      <c r="D1" s="1" t="s">
        <v>14</v>
      </c>
      <c r="E1" s="10" t="s">
        <v>6</v>
      </c>
      <c r="F1" s="10" t="s">
        <v>7</v>
      </c>
      <c r="G1" s="2" t="s">
        <v>8</v>
      </c>
      <c r="H1" s="9" t="s">
        <v>9</v>
      </c>
      <c r="I1" s="3" t="s">
        <v>0</v>
      </c>
      <c r="J1" s="1" t="s">
        <v>10</v>
      </c>
      <c r="K1" s="1" t="s">
        <v>1</v>
      </c>
      <c r="L1" s="1" t="s">
        <v>11</v>
      </c>
      <c r="M1" s="1" t="s">
        <v>3</v>
      </c>
      <c r="N1" s="4" t="s">
        <v>12</v>
      </c>
      <c r="O1" s="3" t="s">
        <v>2</v>
      </c>
      <c r="P1" s="1" t="s">
        <v>13</v>
      </c>
    </row>
    <row r="2" spans="1:16" x14ac:dyDescent="0.35">
      <c r="A2" s="5" t="str">
        <f t="shared" ref="A2:A14" si="0">_xlfn.CONCAT(C2,J2)</f>
        <v>IRA4202133840356627</v>
      </c>
      <c r="B2" s="11" t="s">
        <v>19</v>
      </c>
      <c r="C2" s="7" t="s">
        <v>34</v>
      </c>
      <c r="D2" s="7" t="s">
        <v>67</v>
      </c>
      <c r="E2" s="11" t="s">
        <v>19</v>
      </c>
      <c r="F2" s="11" t="s">
        <v>27</v>
      </c>
      <c r="G2" s="13">
        <v>46237</v>
      </c>
      <c r="H2" s="20">
        <v>46320</v>
      </c>
      <c r="I2" s="7">
        <v>70134900</v>
      </c>
      <c r="J2" s="7">
        <v>40356627</v>
      </c>
      <c r="K2" t="s">
        <v>89</v>
      </c>
      <c r="L2" s="17">
        <v>185</v>
      </c>
      <c r="M2" s="5">
        <v>18</v>
      </c>
      <c r="N2" s="6">
        <f t="shared" ref="N2:N14" si="1">L2*118%</f>
        <v>218.29999999999998</v>
      </c>
      <c r="O2" s="18">
        <v>542.60266666666666</v>
      </c>
      <c r="P2" s="7">
        <v>40</v>
      </c>
    </row>
    <row r="3" spans="1:16" x14ac:dyDescent="0.35">
      <c r="A3" s="5" t="str">
        <f t="shared" si="0"/>
        <v>IRM4328600040356645</v>
      </c>
      <c r="B3" s="11" t="s">
        <v>15</v>
      </c>
      <c r="C3" s="7" t="s">
        <v>35</v>
      </c>
      <c r="D3" s="7" t="s">
        <v>68</v>
      </c>
      <c r="E3" s="11" t="s">
        <v>15</v>
      </c>
      <c r="F3" s="11" t="s">
        <v>16</v>
      </c>
      <c r="G3" s="13">
        <v>46259</v>
      </c>
      <c r="H3" s="20">
        <v>46320</v>
      </c>
      <c r="I3" s="7">
        <v>70134900</v>
      </c>
      <c r="J3" s="7">
        <v>40356645</v>
      </c>
      <c r="K3" t="s">
        <v>90</v>
      </c>
      <c r="L3" s="17">
        <v>238</v>
      </c>
      <c r="M3" s="5">
        <v>18</v>
      </c>
      <c r="N3" s="6">
        <f t="shared" si="1"/>
        <v>280.83999999999997</v>
      </c>
      <c r="O3" s="18">
        <v>606.66666666666674</v>
      </c>
      <c r="P3" s="7">
        <v>8</v>
      </c>
    </row>
    <row r="4" spans="1:16" x14ac:dyDescent="0.35">
      <c r="A4" s="5" t="str">
        <f t="shared" si="0"/>
        <v>IRA4280251040356633</v>
      </c>
      <c r="B4" s="11" t="s">
        <v>111</v>
      </c>
      <c r="C4" s="7" t="s">
        <v>38</v>
      </c>
      <c r="D4" s="7" t="s">
        <v>70</v>
      </c>
      <c r="E4" s="11" t="s">
        <v>111</v>
      </c>
      <c r="F4" s="11" t="s">
        <v>29</v>
      </c>
      <c r="G4" s="13">
        <v>46251</v>
      </c>
      <c r="H4" s="20">
        <v>46320</v>
      </c>
      <c r="I4" s="7">
        <v>70134900</v>
      </c>
      <c r="J4" s="7">
        <v>40356633</v>
      </c>
      <c r="K4" t="s">
        <v>92</v>
      </c>
      <c r="L4" s="17">
        <v>208.5</v>
      </c>
      <c r="M4" s="5">
        <v>18</v>
      </c>
      <c r="N4" s="6">
        <f t="shared" si="1"/>
        <v>246.03</v>
      </c>
      <c r="O4" s="18">
        <v>634.22360784313742</v>
      </c>
      <c r="P4" s="7">
        <v>32</v>
      </c>
    </row>
    <row r="5" spans="1:16" x14ac:dyDescent="0.35">
      <c r="A5" s="5" t="str">
        <f t="shared" si="0"/>
        <v>IRM4328570840207577</v>
      </c>
      <c r="B5" s="11" t="s">
        <v>18</v>
      </c>
      <c r="C5" s="7" t="s">
        <v>42</v>
      </c>
      <c r="D5" s="7" t="s">
        <v>73</v>
      </c>
      <c r="E5" s="11" t="s">
        <v>18</v>
      </c>
      <c r="F5" s="11" t="s">
        <v>26</v>
      </c>
      <c r="G5" s="13">
        <v>46259</v>
      </c>
      <c r="H5" s="20">
        <v>46320</v>
      </c>
      <c r="I5" s="7">
        <v>70134900</v>
      </c>
      <c r="J5" s="7">
        <v>40207577</v>
      </c>
      <c r="K5" t="s">
        <v>95</v>
      </c>
      <c r="L5" s="17">
        <v>112</v>
      </c>
      <c r="M5" s="5">
        <v>18</v>
      </c>
      <c r="N5" s="6">
        <f t="shared" si="1"/>
        <v>132.16</v>
      </c>
      <c r="O5" s="18">
        <v>372.1364705882354</v>
      </c>
      <c r="P5" s="7">
        <v>27</v>
      </c>
    </row>
    <row r="6" spans="1:16" x14ac:dyDescent="0.35">
      <c r="A6" s="5" t="str">
        <f t="shared" si="0"/>
        <v>IRA4279685840356627</v>
      </c>
      <c r="B6" s="11" t="s">
        <v>15</v>
      </c>
      <c r="C6" s="7" t="s">
        <v>37</v>
      </c>
      <c r="D6" s="7" t="s">
        <v>67</v>
      </c>
      <c r="E6" s="11" t="s">
        <v>15</v>
      </c>
      <c r="F6" s="11" t="s">
        <v>16</v>
      </c>
      <c r="G6" s="13">
        <v>46251</v>
      </c>
      <c r="H6" s="20">
        <v>46320</v>
      </c>
      <c r="I6" s="7">
        <v>70134900</v>
      </c>
      <c r="J6" s="7">
        <v>40356627</v>
      </c>
      <c r="K6" t="s">
        <v>89</v>
      </c>
      <c r="L6" s="17">
        <v>185</v>
      </c>
      <c r="M6" s="5">
        <v>18</v>
      </c>
      <c r="N6" s="6">
        <f t="shared" si="1"/>
        <v>218.29999999999998</v>
      </c>
      <c r="O6" s="18">
        <v>542.60266666666666</v>
      </c>
      <c r="P6" s="7">
        <v>96</v>
      </c>
    </row>
    <row r="7" spans="1:16" x14ac:dyDescent="0.35">
      <c r="A7" s="5" t="str">
        <f t="shared" si="0"/>
        <v>IRA4201943540356632</v>
      </c>
      <c r="B7" s="11" t="s">
        <v>23</v>
      </c>
      <c r="C7" s="7" t="s">
        <v>43</v>
      </c>
      <c r="D7" s="7" t="s">
        <v>74</v>
      </c>
      <c r="E7" s="11" t="s">
        <v>23</v>
      </c>
      <c r="F7" s="11" t="s">
        <v>66</v>
      </c>
      <c r="G7" s="13">
        <v>46237</v>
      </c>
      <c r="H7" s="20">
        <v>46320</v>
      </c>
      <c r="I7" s="7">
        <v>70134900</v>
      </c>
      <c r="J7" s="7">
        <v>40356632</v>
      </c>
      <c r="K7" t="s">
        <v>96</v>
      </c>
      <c r="L7" s="17">
        <v>200</v>
      </c>
      <c r="M7" s="5">
        <v>18</v>
      </c>
      <c r="N7" s="6">
        <f t="shared" si="1"/>
        <v>236</v>
      </c>
      <c r="O7" s="18">
        <v>568.03984313725493</v>
      </c>
      <c r="P7" s="7">
        <v>32</v>
      </c>
    </row>
    <row r="8" spans="1:16" x14ac:dyDescent="0.35">
      <c r="A8" s="5" t="str">
        <f t="shared" si="0"/>
        <v>IRA4279685840240201</v>
      </c>
      <c r="B8" s="11" t="s">
        <v>15</v>
      </c>
      <c r="C8" s="7" t="s">
        <v>37</v>
      </c>
      <c r="D8" s="7" t="s">
        <v>76</v>
      </c>
      <c r="E8" s="11" t="s">
        <v>15</v>
      </c>
      <c r="F8" s="11" t="s">
        <v>16</v>
      </c>
      <c r="G8" s="13">
        <v>46251</v>
      </c>
      <c r="H8" s="20">
        <v>46320</v>
      </c>
      <c r="I8" s="7">
        <v>70134900</v>
      </c>
      <c r="J8" s="7">
        <v>40240201</v>
      </c>
      <c r="K8" t="s">
        <v>98</v>
      </c>
      <c r="L8" s="17">
        <v>114.75</v>
      </c>
      <c r="M8" s="5">
        <v>18</v>
      </c>
      <c r="N8" s="6">
        <f t="shared" si="1"/>
        <v>135.405</v>
      </c>
      <c r="O8" s="18">
        <v>225</v>
      </c>
      <c r="P8" s="7">
        <v>30</v>
      </c>
    </row>
    <row r="9" spans="1:16" x14ac:dyDescent="0.35">
      <c r="A9" s="5" t="str">
        <f t="shared" si="0"/>
        <v>IRM4328600540291322</v>
      </c>
      <c r="B9" s="11" t="s">
        <v>23</v>
      </c>
      <c r="C9" s="7" t="s">
        <v>47</v>
      </c>
      <c r="D9" s="7" t="s">
        <v>78</v>
      </c>
      <c r="E9" s="11" t="s">
        <v>23</v>
      </c>
      <c r="F9" s="11" t="s">
        <v>66</v>
      </c>
      <c r="G9" s="13">
        <v>46259</v>
      </c>
      <c r="H9" s="20">
        <v>46320</v>
      </c>
      <c r="I9" s="7">
        <v>70133700</v>
      </c>
      <c r="J9" s="7">
        <v>40291322</v>
      </c>
      <c r="K9" t="s">
        <v>100</v>
      </c>
      <c r="L9" s="17">
        <v>74.150000000000006</v>
      </c>
      <c r="M9" s="5">
        <v>18</v>
      </c>
      <c r="N9" s="6">
        <f t="shared" si="1"/>
        <v>87.497</v>
      </c>
      <c r="O9" s="18">
        <v>210.54901960784312</v>
      </c>
      <c r="P9" s="7">
        <v>40</v>
      </c>
    </row>
    <row r="10" spans="1:16" x14ac:dyDescent="0.35">
      <c r="A10" s="5" t="str">
        <f t="shared" si="0"/>
        <v>IRA4279762340291322</v>
      </c>
      <c r="B10" s="11" t="s">
        <v>23</v>
      </c>
      <c r="C10" s="7" t="s">
        <v>49</v>
      </c>
      <c r="D10" s="7" t="s">
        <v>78</v>
      </c>
      <c r="E10" s="11" t="s">
        <v>23</v>
      </c>
      <c r="F10" s="11" t="s">
        <v>66</v>
      </c>
      <c r="G10" s="13">
        <v>46251</v>
      </c>
      <c r="H10" s="20">
        <v>46320</v>
      </c>
      <c r="I10" s="7">
        <v>70133700</v>
      </c>
      <c r="J10" s="7">
        <v>40291322</v>
      </c>
      <c r="K10" t="s">
        <v>100</v>
      </c>
      <c r="L10" s="17">
        <v>74.150000000000006</v>
      </c>
      <c r="M10" s="5">
        <v>18</v>
      </c>
      <c r="N10" s="6">
        <f t="shared" si="1"/>
        <v>87.497</v>
      </c>
      <c r="O10" s="18">
        <v>210.54901960784312</v>
      </c>
      <c r="P10" s="7">
        <v>10</v>
      </c>
    </row>
    <row r="11" spans="1:16" x14ac:dyDescent="0.35">
      <c r="A11" s="5" t="str">
        <f t="shared" si="0"/>
        <v>IRA4279491640356652</v>
      </c>
      <c r="B11" s="11" t="s">
        <v>21</v>
      </c>
      <c r="C11" s="7" t="s">
        <v>33</v>
      </c>
      <c r="D11" s="7" t="s">
        <v>80</v>
      </c>
      <c r="E11" s="11" t="s">
        <v>21</v>
      </c>
      <c r="F11" s="11" t="s">
        <v>30</v>
      </c>
      <c r="G11" s="13">
        <v>46251</v>
      </c>
      <c r="H11" s="20">
        <v>46320</v>
      </c>
      <c r="I11" s="7">
        <v>70134900</v>
      </c>
      <c r="J11" s="7">
        <v>40356652</v>
      </c>
      <c r="K11" t="s">
        <v>102</v>
      </c>
      <c r="L11" s="17">
        <v>175</v>
      </c>
      <c r="M11" s="5">
        <v>18</v>
      </c>
      <c r="N11" s="6">
        <f t="shared" si="1"/>
        <v>206.5</v>
      </c>
      <c r="O11" s="18">
        <v>446.07843137254901</v>
      </c>
      <c r="P11" s="7">
        <v>4</v>
      </c>
    </row>
    <row r="12" spans="1:16" x14ac:dyDescent="0.35">
      <c r="A12" s="5" t="str">
        <f t="shared" si="0"/>
        <v>IRA4201766740240201</v>
      </c>
      <c r="B12" s="11" t="s">
        <v>15</v>
      </c>
      <c r="C12" s="7" t="s">
        <v>48</v>
      </c>
      <c r="D12" s="7" t="s">
        <v>76</v>
      </c>
      <c r="E12" s="11" t="s">
        <v>15</v>
      </c>
      <c r="F12" s="11" t="s">
        <v>16</v>
      </c>
      <c r="G12" s="13">
        <v>46237</v>
      </c>
      <c r="H12" s="20">
        <v>46320</v>
      </c>
      <c r="I12" s="7">
        <v>70134900</v>
      </c>
      <c r="J12" s="7">
        <v>40240201</v>
      </c>
      <c r="K12" t="s">
        <v>98</v>
      </c>
      <c r="L12" s="17">
        <v>114.75</v>
      </c>
      <c r="M12" s="5">
        <v>18</v>
      </c>
      <c r="N12" s="6">
        <f t="shared" si="1"/>
        <v>135.405</v>
      </c>
      <c r="O12" s="18">
        <v>225</v>
      </c>
      <c r="P12" s="7">
        <v>20</v>
      </c>
    </row>
    <row r="13" spans="1:16" x14ac:dyDescent="0.35">
      <c r="A13" s="5" t="str">
        <f t="shared" si="0"/>
        <v>IRA4201544140207577</v>
      </c>
      <c r="B13" s="11" t="s">
        <v>18</v>
      </c>
      <c r="C13" s="7" t="s">
        <v>54</v>
      </c>
      <c r="D13" s="7" t="s">
        <v>73</v>
      </c>
      <c r="E13" s="11" t="s">
        <v>18</v>
      </c>
      <c r="F13" s="11" t="s">
        <v>26</v>
      </c>
      <c r="G13" s="13">
        <v>46237</v>
      </c>
      <c r="H13" s="20">
        <v>46320</v>
      </c>
      <c r="I13" s="7">
        <v>70134900</v>
      </c>
      <c r="J13" s="7">
        <v>40207577</v>
      </c>
      <c r="K13" t="s">
        <v>95</v>
      </c>
      <c r="L13" s="17">
        <v>112</v>
      </c>
      <c r="M13" s="5">
        <v>18</v>
      </c>
      <c r="N13" s="6">
        <f t="shared" si="1"/>
        <v>132.16</v>
      </c>
      <c r="O13" s="18">
        <v>372.1364705882354</v>
      </c>
      <c r="P13" s="7">
        <v>18</v>
      </c>
    </row>
    <row r="14" spans="1:16" x14ac:dyDescent="0.35">
      <c r="A14" s="5" t="str">
        <f t="shared" si="0"/>
        <v>IRA4279462140207577</v>
      </c>
      <c r="B14" s="11" t="s">
        <v>18</v>
      </c>
      <c r="C14" s="7" t="s">
        <v>45</v>
      </c>
      <c r="D14" s="7" t="s">
        <v>73</v>
      </c>
      <c r="E14" s="11" t="s">
        <v>18</v>
      </c>
      <c r="F14" s="11" t="s">
        <v>26</v>
      </c>
      <c r="G14" s="13">
        <v>46251</v>
      </c>
      <c r="H14" s="20">
        <v>46320</v>
      </c>
      <c r="I14" s="7">
        <v>70134900</v>
      </c>
      <c r="J14" s="7">
        <v>40207577</v>
      </c>
      <c r="K14" t="s">
        <v>95</v>
      </c>
      <c r="L14" s="17">
        <v>112</v>
      </c>
      <c r="M14" s="5">
        <v>18</v>
      </c>
      <c r="N14" s="6">
        <f t="shared" si="1"/>
        <v>132.16</v>
      </c>
      <c r="O14" s="18">
        <v>372.1364705882354</v>
      </c>
      <c r="P14" s="7">
        <v>54</v>
      </c>
    </row>
    <row r="15" spans="1:16" x14ac:dyDescent="0.35">
      <c r="A15" s="5" t="str">
        <f t="shared" ref="A15:A28" si="2">_xlfn.CONCAT(C15,J15)</f>
        <v>IRA4279762340207577</v>
      </c>
      <c r="B15" s="11" t="s">
        <v>23</v>
      </c>
      <c r="C15" s="7" t="s">
        <v>49</v>
      </c>
      <c r="D15" s="7" t="s">
        <v>73</v>
      </c>
      <c r="E15" s="11" t="s">
        <v>23</v>
      </c>
      <c r="F15" s="11" t="s">
        <v>66</v>
      </c>
      <c r="G15" s="13">
        <v>46251</v>
      </c>
      <c r="H15" s="20">
        <v>46320</v>
      </c>
      <c r="I15" s="7">
        <v>70134900</v>
      </c>
      <c r="J15" s="7">
        <v>40207577</v>
      </c>
      <c r="K15" t="s">
        <v>95</v>
      </c>
      <c r="L15" s="17">
        <v>112</v>
      </c>
      <c r="M15" s="5">
        <v>18</v>
      </c>
      <c r="N15" s="6">
        <f t="shared" ref="N15:N28" si="3">L15*118%</f>
        <v>132.16</v>
      </c>
      <c r="O15" s="18">
        <v>372.1364705882354</v>
      </c>
      <c r="P15" s="7">
        <v>36</v>
      </c>
    </row>
    <row r="16" spans="1:16" x14ac:dyDescent="0.35">
      <c r="A16" s="5" t="str">
        <f t="shared" si="2"/>
        <v>IRA4279462140356637</v>
      </c>
      <c r="B16" s="11" t="s">
        <v>18</v>
      </c>
      <c r="C16" s="7" t="s">
        <v>45</v>
      </c>
      <c r="D16" s="7" t="s">
        <v>79</v>
      </c>
      <c r="E16" s="11" t="s">
        <v>18</v>
      </c>
      <c r="F16" s="11" t="s">
        <v>26</v>
      </c>
      <c r="G16" s="13">
        <v>46251</v>
      </c>
      <c r="H16" s="20">
        <v>46320</v>
      </c>
      <c r="I16" s="7">
        <v>70134900</v>
      </c>
      <c r="J16" s="7">
        <v>40356637</v>
      </c>
      <c r="K16" t="s">
        <v>101</v>
      </c>
      <c r="L16" s="17">
        <v>162.1925</v>
      </c>
      <c r="M16" s="5">
        <v>18</v>
      </c>
      <c r="N16" s="6">
        <f t="shared" si="3"/>
        <v>191.38714999999999</v>
      </c>
      <c r="O16" s="18">
        <v>635.92941176470583</v>
      </c>
      <c r="P16" s="7">
        <v>72</v>
      </c>
    </row>
    <row r="17" spans="1:16" x14ac:dyDescent="0.35">
      <c r="A17" s="5" t="str">
        <f t="shared" si="2"/>
        <v>IRA4279462140356633</v>
      </c>
      <c r="B17" s="11" t="s">
        <v>18</v>
      </c>
      <c r="C17" s="7" t="s">
        <v>45</v>
      </c>
      <c r="D17" s="7" t="s">
        <v>70</v>
      </c>
      <c r="E17" s="11" t="s">
        <v>18</v>
      </c>
      <c r="F17" s="11" t="s">
        <v>26</v>
      </c>
      <c r="G17" s="13">
        <v>46251</v>
      </c>
      <c r="H17" s="20">
        <v>46320</v>
      </c>
      <c r="I17" s="7">
        <v>70134900</v>
      </c>
      <c r="J17" s="7">
        <v>40356633</v>
      </c>
      <c r="K17" t="s">
        <v>92</v>
      </c>
      <c r="L17" s="17">
        <v>208.5</v>
      </c>
      <c r="M17" s="5">
        <v>18</v>
      </c>
      <c r="N17" s="6">
        <f t="shared" si="3"/>
        <v>246.03</v>
      </c>
      <c r="O17" s="18">
        <v>634.22360784313742</v>
      </c>
      <c r="P17" s="7">
        <v>16</v>
      </c>
    </row>
    <row r="18" spans="1:16" x14ac:dyDescent="0.35">
      <c r="A18" s="5" t="str">
        <f t="shared" si="2"/>
        <v>IRM4328600040291316</v>
      </c>
      <c r="B18" s="11" t="s">
        <v>15</v>
      </c>
      <c r="C18" s="7" t="s">
        <v>35</v>
      </c>
      <c r="D18" s="7" t="s">
        <v>83</v>
      </c>
      <c r="E18" s="11" t="s">
        <v>15</v>
      </c>
      <c r="F18" s="11" t="s">
        <v>16</v>
      </c>
      <c r="G18" s="13">
        <v>46259</v>
      </c>
      <c r="H18" s="20">
        <v>46320</v>
      </c>
      <c r="I18" s="7">
        <v>70134900</v>
      </c>
      <c r="J18" s="7">
        <v>40291316</v>
      </c>
      <c r="K18" t="s">
        <v>105</v>
      </c>
      <c r="L18" s="17">
        <v>127.3475</v>
      </c>
      <c r="M18" s="5">
        <v>18</v>
      </c>
      <c r="N18" s="6">
        <f t="shared" si="3"/>
        <v>150.27005</v>
      </c>
      <c r="O18" s="18">
        <v>411.17725490196074</v>
      </c>
      <c r="P18" s="7">
        <v>60</v>
      </c>
    </row>
    <row r="19" spans="1:16" x14ac:dyDescent="0.35">
      <c r="A19" s="5" t="str">
        <f t="shared" si="2"/>
        <v>IRA4202493940240201</v>
      </c>
      <c r="B19" s="11" t="s">
        <v>22</v>
      </c>
      <c r="C19" s="7" t="s">
        <v>41</v>
      </c>
      <c r="D19" s="7" t="s">
        <v>76</v>
      </c>
      <c r="E19" s="11" t="s">
        <v>22</v>
      </c>
      <c r="F19" s="11" t="s">
        <v>31</v>
      </c>
      <c r="G19" s="13">
        <v>46237</v>
      </c>
      <c r="H19" s="20">
        <v>46320</v>
      </c>
      <c r="I19" s="7">
        <v>70134900</v>
      </c>
      <c r="J19" s="7">
        <v>40240201</v>
      </c>
      <c r="K19" t="s">
        <v>98</v>
      </c>
      <c r="L19" s="17">
        <v>114.75</v>
      </c>
      <c r="M19" s="5">
        <v>18</v>
      </c>
      <c r="N19" s="6">
        <f t="shared" si="3"/>
        <v>135.405</v>
      </c>
      <c r="O19" s="18">
        <v>225</v>
      </c>
      <c r="P19" s="7">
        <v>140</v>
      </c>
    </row>
    <row r="20" spans="1:16" x14ac:dyDescent="0.35">
      <c r="A20" s="5" t="str">
        <f t="shared" si="2"/>
        <v>IRM4328653940183531</v>
      </c>
      <c r="B20" s="11" t="s">
        <v>19</v>
      </c>
      <c r="C20" s="7" t="s">
        <v>60</v>
      </c>
      <c r="D20" s="7" t="s">
        <v>84</v>
      </c>
      <c r="E20" s="11" t="s">
        <v>19</v>
      </c>
      <c r="F20" s="11" t="s">
        <v>27</v>
      </c>
      <c r="G20" s="13">
        <v>46259</v>
      </c>
      <c r="H20" s="20">
        <v>46320</v>
      </c>
      <c r="I20" s="7">
        <v>70134900</v>
      </c>
      <c r="J20" s="7">
        <v>40183531</v>
      </c>
      <c r="K20" t="s">
        <v>106</v>
      </c>
      <c r="L20" s="17">
        <v>164</v>
      </c>
      <c r="M20" s="5">
        <v>18</v>
      </c>
      <c r="N20" s="6">
        <f t="shared" si="3"/>
        <v>193.51999999999998</v>
      </c>
      <c r="O20" s="18">
        <v>517.16549019607839</v>
      </c>
      <c r="P20" s="7">
        <v>32</v>
      </c>
    </row>
    <row r="21" spans="1:16" x14ac:dyDescent="0.35">
      <c r="A21" s="5" t="str">
        <f t="shared" si="2"/>
        <v>IRA4280407440240201</v>
      </c>
      <c r="B21" s="11" t="s">
        <v>22</v>
      </c>
      <c r="C21" s="7" t="s">
        <v>52</v>
      </c>
      <c r="D21" s="7" t="s">
        <v>76</v>
      </c>
      <c r="E21" s="11" t="s">
        <v>22</v>
      </c>
      <c r="F21" s="11" t="s">
        <v>31</v>
      </c>
      <c r="G21" s="13">
        <v>46251</v>
      </c>
      <c r="H21" s="20">
        <v>46320</v>
      </c>
      <c r="I21" s="7">
        <v>70134900</v>
      </c>
      <c r="J21" s="7">
        <v>40240201</v>
      </c>
      <c r="K21" t="s">
        <v>98</v>
      </c>
      <c r="L21" s="17">
        <v>114.75</v>
      </c>
      <c r="M21" s="5">
        <v>18</v>
      </c>
      <c r="N21" s="6">
        <f t="shared" si="3"/>
        <v>135.405</v>
      </c>
      <c r="O21" s="18">
        <v>225</v>
      </c>
      <c r="P21" s="7">
        <v>40</v>
      </c>
    </row>
    <row r="22" spans="1:16" x14ac:dyDescent="0.35">
      <c r="A22" s="5" t="str">
        <f t="shared" si="2"/>
        <v>IRA4201766740183558</v>
      </c>
      <c r="B22" s="11" t="s">
        <v>15</v>
      </c>
      <c r="C22" s="7" t="s">
        <v>48</v>
      </c>
      <c r="D22" s="7" t="s">
        <v>77</v>
      </c>
      <c r="E22" s="11" t="s">
        <v>15</v>
      </c>
      <c r="F22" s="11" t="s">
        <v>16</v>
      </c>
      <c r="G22" s="13">
        <v>46237</v>
      </c>
      <c r="H22" s="20">
        <v>46320</v>
      </c>
      <c r="I22" s="7">
        <v>70134900</v>
      </c>
      <c r="J22" s="7">
        <v>40183558</v>
      </c>
      <c r="K22" t="s">
        <v>99</v>
      </c>
      <c r="L22" s="17">
        <v>255</v>
      </c>
      <c r="M22" s="5">
        <v>18</v>
      </c>
      <c r="N22" s="6">
        <f t="shared" si="3"/>
        <v>300.89999999999998</v>
      </c>
      <c r="O22" s="18">
        <v>683.03529411764714</v>
      </c>
      <c r="P22" s="7">
        <v>12</v>
      </c>
    </row>
    <row r="23" spans="1:16" x14ac:dyDescent="0.35">
      <c r="A23" s="5" t="str">
        <f t="shared" si="2"/>
        <v>IRA4279868940291322</v>
      </c>
      <c r="B23" s="11" t="s">
        <v>20</v>
      </c>
      <c r="C23" s="7" t="s">
        <v>44</v>
      </c>
      <c r="D23" s="7" t="s">
        <v>78</v>
      </c>
      <c r="E23" s="11" t="s">
        <v>20</v>
      </c>
      <c r="F23" s="11" t="s">
        <v>28</v>
      </c>
      <c r="G23" s="13">
        <v>46251</v>
      </c>
      <c r="H23" s="20">
        <v>46320</v>
      </c>
      <c r="I23" s="7">
        <v>70133700</v>
      </c>
      <c r="J23" s="7">
        <v>40291322</v>
      </c>
      <c r="K23" t="s">
        <v>100</v>
      </c>
      <c r="L23" s="17">
        <v>74.150000000000006</v>
      </c>
      <c r="M23" s="5">
        <v>18</v>
      </c>
      <c r="N23" s="6">
        <f t="shared" si="3"/>
        <v>87.497</v>
      </c>
      <c r="O23" s="18">
        <v>210.54901960784312</v>
      </c>
      <c r="P23" s="7">
        <v>300</v>
      </c>
    </row>
    <row r="24" spans="1:16" x14ac:dyDescent="0.35">
      <c r="A24" s="5" t="str">
        <f t="shared" si="2"/>
        <v>IRM4328564740356645</v>
      </c>
      <c r="B24" s="11" t="s">
        <v>17</v>
      </c>
      <c r="C24" s="7" t="s">
        <v>56</v>
      </c>
      <c r="D24" s="7" t="s">
        <v>68</v>
      </c>
      <c r="E24" s="11" t="s">
        <v>17</v>
      </c>
      <c r="F24" s="11" t="s">
        <v>25</v>
      </c>
      <c r="G24" s="13">
        <v>46259</v>
      </c>
      <c r="H24" s="20">
        <v>46320</v>
      </c>
      <c r="I24" s="7">
        <v>70134900</v>
      </c>
      <c r="J24" s="7">
        <v>40356645</v>
      </c>
      <c r="K24" t="s">
        <v>90</v>
      </c>
      <c r="L24" s="17">
        <v>238</v>
      </c>
      <c r="M24" s="5">
        <v>18</v>
      </c>
      <c r="N24" s="6">
        <f t="shared" si="3"/>
        <v>280.83999999999997</v>
      </c>
      <c r="O24" s="18">
        <v>606.66666666666674</v>
      </c>
      <c r="P24" s="7">
        <v>7</v>
      </c>
    </row>
    <row r="25" spans="1:16" x14ac:dyDescent="0.35">
      <c r="A25" s="5" t="str">
        <f t="shared" si="2"/>
        <v>IRA4279462140207580</v>
      </c>
      <c r="B25" s="11" t="s">
        <v>18</v>
      </c>
      <c r="C25" s="7" t="s">
        <v>45</v>
      </c>
      <c r="D25" s="7" t="s">
        <v>71</v>
      </c>
      <c r="E25" s="11" t="s">
        <v>18</v>
      </c>
      <c r="F25" s="11" t="s">
        <v>26</v>
      </c>
      <c r="G25" s="13">
        <v>46251</v>
      </c>
      <c r="H25" s="20">
        <v>46320</v>
      </c>
      <c r="I25" s="7">
        <v>70134900</v>
      </c>
      <c r="J25" s="7">
        <v>40207580</v>
      </c>
      <c r="K25" t="s">
        <v>93</v>
      </c>
      <c r="L25" s="17">
        <v>167.01999999999998</v>
      </c>
      <c r="M25" s="5">
        <v>18</v>
      </c>
      <c r="N25" s="6">
        <f t="shared" si="3"/>
        <v>197.08359999999996</v>
      </c>
      <c r="O25" s="18">
        <v>425.73725490196074</v>
      </c>
      <c r="P25" s="7">
        <v>30</v>
      </c>
    </row>
    <row r="26" spans="1:16" x14ac:dyDescent="0.35">
      <c r="A26" s="5" t="str">
        <f t="shared" si="2"/>
        <v>IRM4328616340183558</v>
      </c>
      <c r="B26" s="11" t="s">
        <v>15</v>
      </c>
      <c r="C26" s="7" t="s">
        <v>46</v>
      </c>
      <c r="D26" s="7" t="s">
        <v>77</v>
      </c>
      <c r="E26" s="11" t="s">
        <v>15</v>
      </c>
      <c r="F26" s="11" t="s">
        <v>16</v>
      </c>
      <c r="G26" s="13">
        <v>46259</v>
      </c>
      <c r="H26" s="20">
        <v>46320</v>
      </c>
      <c r="I26" s="7">
        <v>70134900</v>
      </c>
      <c r="J26" s="7">
        <v>40183558</v>
      </c>
      <c r="K26" t="s">
        <v>99</v>
      </c>
      <c r="L26" s="17">
        <v>255</v>
      </c>
      <c r="M26" s="5">
        <v>18</v>
      </c>
      <c r="N26" s="6">
        <f t="shared" si="3"/>
        <v>300.89999999999998</v>
      </c>
      <c r="O26" s="18">
        <v>683.03529411764714</v>
      </c>
      <c r="P26" s="7">
        <v>12</v>
      </c>
    </row>
    <row r="27" spans="1:16" x14ac:dyDescent="0.35">
      <c r="A27" s="5" t="str">
        <f t="shared" si="2"/>
        <v>IRA4279685840291316</v>
      </c>
      <c r="B27" s="11" t="s">
        <v>15</v>
      </c>
      <c r="C27" s="7" t="s">
        <v>37</v>
      </c>
      <c r="D27" s="7" t="s">
        <v>83</v>
      </c>
      <c r="E27" s="11" t="s">
        <v>15</v>
      </c>
      <c r="F27" s="11" t="s">
        <v>16</v>
      </c>
      <c r="G27" s="13">
        <v>46251</v>
      </c>
      <c r="H27" s="20">
        <v>46320</v>
      </c>
      <c r="I27" s="7">
        <v>70134900</v>
      </c>
      <c r="J27" s="7">
        <v>40291316</v>
      </c>
      <c r="K27" t="s">
        <v>105</v>
      </c>
      <c r="L27" s="17">
        <v>127.3475</v>
      </c>
      <c r="M27" s="5">
        <v>18</v>
      </c>
      <c r="N27" s="6">
        <f t="shared" si="3"/>
        <v>150.27005</v>
      </c>
      <c r="O27" s="18">
        <v>411.17725490196074</v>
      </c>
      <c r="P27" s="7">
        <v>20</v>
      </c>
    </row>
    <row r="28" spans="1:16" x14ac:dyDescent="0.35">
      <c r="A28" s="5" t="str">
        <f t="shared" si="2"/>
        <v>IRA4201966240356627</v>
      </c>
      <c r="B28" s="11" t="s">
        <v>20</v>
      </c>
      <c r="C28" s="7" t="s">
        <v>32</v>
      </c>
      <c r="D28" s="7" t="s">
        <v>67</v>
      </c>
      <c r="E28" s="11" t="s">
        <v>20</v>
      </c>
      <c r="F28" s="11" t="s">
        <v>28</v>
      </c>
      <c r="G28" s="13">
        <v>46237</v>
      </c>
      <c r="H28" s="20">
        <v>46320</v>
      </c>
      <c r="I28" s="7">
        <v>70134900</v>
      </c>
      <c r="J28" s="7">
        <v>40356627</v>
      </c>
      <c r="K28" t="s">
        <v>89</v>
      </c>
      <c r="L28" s="17">
        <v>185</v>
      </c>
      <c r="M28" s="5">
        <v>18</v>
      </c>
      <c r="N28" s="6">
        <f t="shared" si="3"/>
        <v>218.29999999999998</v>
      </c>
      <c r="O28" s="18">
        <v>542.60266666666666</v>
      </c>
      <c r="P28" s="7">
        <v>40</v>
      </c>
    </row>
    <row r="29" spans="1:16" x14ac:dyDescent="0.35">
      <c r="A29" s="5" t="str">
        <f t="shared" ref="A29:A44" si="4">_xlfn.CONCAT(C29,J29)</f>
        <v>IRM4328564740356640</v>
      </c>
      <c r="B29" s="11" t="s">
        <v>17</v>
      </c>
      <c r="C29" s="7" t="s">
        <v>56</v>
      </c>
      <c r="D29" s="7" t="s">
        <v>69</v>
      </c>
      <c r="E29" s="11" t="s">
        <v>17</v>
      </c>
      <c r="F29" s="11" t="s">
        <v>25</v>
      </c>
      <c r="G29" s="13">
        <v>46259</v>
      </c>
      <c r="H29" s="20">
        <v>46320</v>
      </c>
      <c r="I29" s="7">
        <v>70134900</v>
      </c>
      <c r="J29" s="7">
        <v>40356640</v>
      </c>
      <c r="K29" t="s">
        <v>91</v>
      </c>
      <c r="L29" s="17">
        <v>257.25</v>
      </c>
      <c r="M29" s="5">
        <v>18</v>
      </c>
      <c r="N29" s="6">
        <f t="shared" ref="N29:N44" si="5">L29*118%</f>
        <v>303.55500000000001</v>
      </c>
      <c r="O29" s="18">
        <v>525</v>
      </c>
      <c r="P29" s="7">
        <v>12</v>
      </c>
    </row>
    <row r="30" spans="1:16" x14ac:dyDescent="0.35">
      <c r="A30" s="5" t="str">
        <f t="shared" si="4"/>
        <v>IRA4280056440291316</v>
      </c>
      <c r="B30" s="11" t="s">
        <v>19</v>
      </c>
      <c r="C30" s="7" t="s">
        <v>50</v>
      </c>
      <c r="D30" s="7" t="s">
        <v>83</v>
      </c>
      <c r="E30" s="11" t="s">
        <v>19</v>
      </c>
      <c r="F30" s="11" t="s">
        <v>27</v>
      </c>
      <c r="G30" s="13">
        <v>46251</v>
      </c>
      <c r="H30" s="20">
        <v>46320</v>
      </c>
      <c r="I30" s="7">
        <v>70134900</v>
      </c>
      <c r="J30" s="7">
        <v>40291316</v>
      </c>
      <c r="K30" t="s">
        <v>105</v>
      </c>
      <c r="L30" s="17">
        <v>127.3475</v>
      </c>
      <c r="M30" s="5">
        <v>18</v>
      </c>
      <c r="N30" s="6">
        <f t="shared" si="5"/>
        <v>150.27005</v>
      </c>
      <c r="O30" s="18">
        <v>411.17725490196074</v>
      </c>
      <c r="P30" s="7">
        <v>20</v>
      </c>
    </row>
    <row r="31" spans="1:16" x14ac:dyDescent="0.35">
      <c r="A31" s="5" t="str">
        <f t="shared" si="4"/>
        <v>IRA4279868940356632</v>
      </c>
      <c r="B31" s="11" t="s">
        <v>20</v>
      </c>
      <c r="C31" s="7" t="s">
        <v>44</v>
      </c>
      <c r="D31" s="7" t="s">
        <v>74</v>
      </c>
      <c r="E31" s="11" t="s">
        <v>20</v>
      </c>
      <c r="F31" s="11" t="s">
        <v>28</v>
      </c>
      <c r="G31" s="13">
        <v>46251</v>
      </c>
      <c r="H31" s="20">
        <v>46320</v>
      </c>
      <c r="I31" s="7">
        <v>70134900</v>
      </c>
      <c r="J31" s="7">
        <v>40356632</v>
      </c>
      <c r="K31" t="s">
        <v>96</v>
      </c>
      <c r="L31" s="17">
        <v>200</v>
      </c>
      <c r="M31" s="5">
        <v>18</v>
      </c>
      <c r="N31" s="6">
        <f t="shared" si="5"/>
        <v>236</v>
      </c>
      <c r="O31" s="18">
        <v>568.03984313725493</v>
      </c>
      <c r="P31" s="7">
        <v>112</v>
      </c>
    </row>
    <row r="32" spans="1:16" x14ac:dyDescent="0.35">
      <c r="A32" s="5" t="str">
        <f t="shared" si="4"/>
        <v>IRM4328620840183531</v>
      </c>
      <c r="B32" s="11" t="s">
        <v>20</v>
      </c>
      <c r="C32" s="7" t="s">
        <v>62</v>
      </c>
      <c r="D32" s="7" t="s">
        <v>84</v>
      </c>
      <c r="E32" s="11" t="s">
        <v>20</v>
      </c>
      <c r="F32" s="11" t="s">
        <v>28</v>
      </c>
      <c r="G32" s="13">
        <v>46259</v>
      </c>
      <c r="H32" s="20">
        <v>46320</v>
      </c>
      <c r="I32" s="7">
        <v>70134900</v>
      </c>
      <c r="J32" s="7">
        <v>40183531</v>
      </c>
      <c r="K32" t="s">
        <v>106</v>
      </c>
      <c r="L32" s="17">
        <v>164</v>
      </c>
      <c r="M32" s="5">
        <v>18</v>
      </c>
      <c r="N32" s="6">
        <f t="shared" si="5"/>
        <v>193.51999999999998</v>
      </c>
      <c r="O32" s="18">
        <v>517.16549019607839</v>
      </c>
      <c r="P32" s="7">
        <v>16</v>
      </c>
    </row>
    <row r="33" spans="1:16" x14ac:dyDescent="0.35">
      <c r="A33" s="5" t="str">
        <f t="shared" si="4"/>
        <v>IRA4201966240356632</v>
      </c>
      <c r="B33" s="11" t="s">
        <v>20</v>
      </c>
      <c r="C33" s="7" t="s">
        <v>32</v>
      </c>
      <c r="D33" s="7" t="s">
        <v>74</v>
      </c>
      <c r="E33" s="11" t="s">
        <v>20</v>
      </c>
      <c r="F33" s="11" t="s">
        <v>28</v>
      </c>
      <c r="G33" s="13">
        <v>46237</v>
      </c>
      <c r="H33" s="20">
        <v>46320</v>
      </c>
      <c r="I33" s="7">
        <v>70134900</v>
      </c>
      <c r="J33" s="7">
        <v>40356632</v>
      </c>
      <c r="K33" t="s">
        <v>96</v>
      </c>
      <c r="L33" s="17">
        <v>200</v>
      </c>
      <c r="M33" s="5">
        <v>18</v>
      </c>
      <c r="N33" s="6">
        <f t="shared" si="5"/>
        <v>236</v>
      </c>
      <c r="O33" s="18">
        <v>568.03984313725493</v>
      </c>
      <c r="P33" s="7">
        <v>16</v>
      </c>
    </row>
    <row r="34" spans="1:16" x14ac:dyDescent="0.35">
      <c r="A34" s="5" t="str">
        <f t="shared" si="4"/>
        <v>IRA4280056540291322</v>
      </c>
      <c r="B34" s="11" t="s">
        <v>19</v>
      </c>
      <c r="C34" s="7" t="s">
        <v>63</v>
      </c>
      <c r="D34" s="7" t="s">
        <v>78</v>
      </c>
      <c r="E34" s="11" t="s">
        <v>19</v>
      </c>
      <c r="F34" s="11" t="s">
        <v>27</v>
      </c>
      <c r="G34" s="13">
        <v>46251</v>
      </c>
      <c r="H34" s="20">
        <v>46320</v>
      </c>
      <c r="I34" s="7">
        <v>70133700</v>
      </c>
      <c r="J34" s="7">
        <v>40291322</v>
      </c>
      <c r="K34" t="s">
        <v>100</v>
      </c>
      <c r="L34" s="17">
        <v>74.150000000000006</v>
      </c>
      <c r="M34" s="5">
        <v>18</v>
      </c>
      <c r="N34" s="6">
        <f t="shared" si="5"/>
        <v>87.497</v>
      </c>
      <c r="O34" s="18">
        <v>210.54901960784312</v>
      </c>
      <c r="P34" s="7">
        <v>40</v>
      </c>
    </row>
    <row r="35" spans="1:16" x14ac:dyDescent="0.35">
      <c r="A35" s="5" t="str">
        <f t="shared" si="4"/>
        <v>IRA4202133840356628</v>
      </c>
      <c r="B35" s="11" t="s">
        <v>19</v>
      </c>
      <c r="C35" s="7" t="s">
        <v>34</v>
      </c>
      <c r="D35" s="7" t="s">
        <v>86</v>
      </c>
      <c r="E35" s="11" t="s">
        <v>19</v>
      </c>
      <c r="F35" s="11" t="s">
        <v>27</v>
      </c>
      <c r="G35" s="13">
        <v>46237</v>
      </c>
      <c r="H35" s="20">
        <v>46320</v>
      </c>
      <c r="I35" s="7">
        <v>70134900</v>
      </c>
      <c r="J35" s="7">
        <v>40356628</v>
      </c>
      <c r="K35" t="s">
        <v>108</v>
      </c>
      <c r="L35" s="17">
        <v>189</v>
      </c>
      <c r="M35" s="5">
        <v>18</v>
      </c>
      <c r="N35" s="6">
        <f t="shared" si="5"/>
        <v>223.01999999999998</v>
      </c>
      <c r="O35" s="18">
        <v>506.56666666666666</v>
      </c>
      <c r="P35" s="7">
        <v>16</v>
      </c>
    </row>
    <row r="36" spans="1:16" x14ac:dyDescent="0.35">
      <c r="A36" s="5" t="str">
        <f t="shared" si="4"/>
        <v>IRA4201766740356642</v>
      </c>
      <c r="B36" s="11" t="s">
        <v>15</v>
      </c>
      <c r="C36" s="7" t="s">
        <v>48</v>
      </c>
      <c r="D36" s="7" t="s">
        <v>85</v>
      </c>
      <c r="E36" s="11" t="s">
        <v>15</v>
      </c>
      <c r="F36" s="11" t="s">
        <v>16</v>
      </c>
      <c r="G36" s="13">
        <v>46237</v>
      </c>
      <c r="H36" s="20">
        <v>46320</v>
      </c>
      <c r="I36" s="7">
        <v>70134900</v>
      </c>
      <c r="J36" s="7">
        <v>40356642</v>
      </c>
      <c r="K36" t="s">
        <v>107</v>
      </c>
      <c r="L36" s="17">
        <v>133</v>
      </c>
      <c r="M36" s="5">
        <v>18</v>
      </c>
      <c r="N36" s="6">
        <f t="shared" si="5"/>
        <v>156.94</v>
      </c>
      <c r="O36" s="18">
        <v>396.68862745098039</v>
      </c>
      <c r="P36" s="7">
        <v>20</v>
      </c>
    </row>
    <row r="37" spans="1:16" x14ac:dyDescent="0.35">
      <c r="A37" s="5" t="str">
        <f t="shared" si="4"/>
        <v>IRM4328616340183531</v>
      </c>
      <c r="B37" s="11" t="s">
        <v>15</v>
      </c>
      <c r="C37" s="7" t="s">
        <v>46</v>
      </c>
      <c r="D37" s="7" t="s">
        <v>84</v>
      </c>
      <c r="E37" s="11" t="s">
        <v>15</v>
      </c>
      <c r="F37" s="11" t="s">
        <v>16</v>
      </c>
      <c r="G37" s="13">
        <v>46259</v>
      </c>
      <c r="H37" s="20">
        <v>46320</v>
      </c>
      <c r="I37" s="7">
        <v>70134900</v>
      </c>
      <c r="J37" s="7">
        <v>40183531</v>
      </c>
      <c r="K37" t="s">
        <v>106</v>
      </c>
      <c r="L37" s="17">
        <v>164</v>
      </c>
      <c r="M37" s="5">
        <v>18</v>
      </c>
      <c r="N37" s="6">
        <f t="shared" si="5"/>
        <v>193.51999999999998</v>
      </c>
      <c r="O37" s="18">
        <v>517.16549019607839</v>
      </c>
      <c r="P37" s="7">
        <v>12</v>
      </c>
    </row>
    <row r="38" spans="1:16" x14ac:dyDescent="0.35">
      <c r="A38" s="5" t="str">
        <f t="shared" si="4"/>
        <v>IRA4202276740356628</v>
      </c>
      <c r="B38" s="11" t="s">
        <v>24</v>
      </c>
      <c r="C38" s="7" t="s">
        <v>40</v>
      </c>
      <c r="D38" s="7" t="s">
        <v>86</v>
      </c>
      <c r="E38" s="11" t="s">
        <v>24</v>
      </c>
      <c r="F38" s="11" t="s">
        <v>65</v>
      </c>
      <c r="G38" s="13">
        <v>46237</v>
      </c>
      <c r="H38" s="20">
        <v>46320</v>
      </c>
      <c r="I38" s="7">
        <v>70134900</v>
      </c>
      <c r="J38" s="7">
        <v>40356628</v>
      </c>
      <c r="K38" t="s">
        <v>108</v>
      </c>
      <c r="L38" s="17">
        <v>189</v>
      </c>
      <c r="M38" s="5">
        <v>18</v>
      </c>
      <c r="N38" s="6">
        <f t="shared" si="5"/>
        <v>223.01999999999998</v>
      </c>
      <c r="O38" s="18">
        <v>506.56666666666666</v>
      </c>
      <c r="P38" s="7">
        <v>8</v>
      </c>
    </row>
    <row r="39" spans="1:16" x14ac:dyDescent="0.35">
      <c r="A39" s="5" t="str">
        <f t="shared" si="4"/>
        <v>IRA4279685940291322</v>
      </c>
      <c r="B39" s="11" t="s">
        <v>15</v>
      </c>
      <c r="C39" s="7" t="s">
        <v>64</v>
      </c>
      <c r="D39" s="7" t="s">
        <v>78</v>
      </c>
      <c r="E39" s="11" t="s">
        <v>15</v>
      </c>
      <c r="F39" s="11" t="s">
        <v>16</v>
      </c>
      <c r="G39" s="13">
        <v>46251</v>
      </c>
      <c r="H39" s="20">
        <v>46320</v>
      </c>
      <c r="I39" s="7">
        <v>70133700</v>
      </c>
      <c r="J39" s="7">
        <v>40291322</v>
      </c>
      <c r="K39" t="s">
        <v>100</v>
      </c>
      <c r="L39" s="17">
        <v>74.150000000000006</v>
      </c>
      <c r="M39" s="5">
        <v>18</v>
      </c>
      <c r="N39" s="6">
        <f t="shared" si="5"/>
        <v>87.497</v>
      </c>
      <c r="O39" s="18">
        <v>210.54901960784312</v>
      </c>
      <c r="P39" s="7">
        <v>60</v>
      </c>
    </row>
    <row r="40" spans="1:16" x14ac:dyDescent="0.35">
      <c r="A40" s="5" t="str">
        <f t="shared" si="4"/>
        <v>IRA4201544140207580</v>
      </c>
      <c r="B40" s="11" t="s">
        <v>18</v>
      </c>
      <c r="C40" s="7" t="s">
        <v>54</v>
      </c>
      <c r="D40" s="7" t="s">
        <v>71</v>
      </c>
      <c r="E40" s="11" t="s">
        <v>18</v>
      </c>
      <c r="F40" s="11" t="s">
        <v>26</v>
      </c>
      <c r="G40" s="13">
        <v>46237</v>
      </c>
      <c r="H40" s="20">
        <v>46320</v>
      </c>
      <c r="I40" s="7">
        <v>70134900</v>
      </c>
      <c r="J40" s="7">
        <v>40207580</v>
      </c>
      <c r="K40" t="s">
        <v>93</v>
      </c>
      <c r="L40" s="17">
        <v>167.01999999999998</v>
      </c>
      <c r="M40" s="5">
        <v>18</v>
      </c>
      <c r="N40" s="6">
        <f t="shared" si="5"/>
        <v>197.08359999999996</v>
      </c>
      <c r="O40" s="18">
        <v>425.73725490196074</v>
      </c>
      <c r="P40" s="7">
        <v>30</v>
      </c>
    </row>
    <row r="41" spans="1:16" x14ac:dyDescent="0.35">
      <c r="A41" s="5" t="str">
        <f t="shared" si="4"/>
        <v>IRA4279685840183558</v>
      </c>
      <c r="B41" s="11" t="s">
        <v>15</v>
      </c>
      <c r="C41" s="7" t="s">
        <v>37</v>
      </c>
      <c r="D41" s="7" t="s">
        <v>77</v>
      </c>
      <c r="E41" s="11" t="s">
        <v>15</v>
      </c>
      <c r="F41" s="11" t="s">
        <v>16</v>
      </c>
      <c r="G41" s="13">
        <v>46251</v>
      </c>
      <c r="H41" s="20">
        <v>46320</v>
      </c>
      <c r="I41" s="7">
        <v>70134900</v>
      </c>
      <c r="J41" s="7">
        <v>40183558</v>
      </c>
      <c r="K41" t="s">
        <v>99</v>
      </c>
      <c r="L41" s="17">
        <v>255</v>
      </c>
      <c r="M41" s="5">
        <v>18</v>
      </c>
      <c r="N41" s="6">
        <f t="shared" si="5"/>
        <v>300.89999999999998</v>
      </c>
      <c r="O41" s="18">
        <v>683.03529411764714</v>
      </c>
      <c r="P41" s="7">
        <v>38</v>
      </c>
    </row>
    <row r="42" spans="1:16" x14ac:dyDescent="0.35">
      <c r="A42" s="5" t="str">
        <f t="shared" si="4"/>
        <v>IRA4202361940356627</v>
      </c>
      <c r="B42" s="11" t="s">
        <v>111</v>
      </c>
      <c r="C42" s="7" t="s">
        <v>36</v>
      </c>
      <c r="D42" s="7" t="s">
        <v>67</v>
      </c>
      <c r="E42" s="11" t="s">
        <v>111</v>
      </c>
      <c r="F42" s="11" t="s">
        <v>29</v>
      </c>
      <c r="G42" s="13">
        <v>46237</v>
      </c>
      <c r="H42" s="20">
        <v>46320</v>
      </c>
      <c r="I42" s="7">
        <v>70134900</v>
      </c>
      <c r="J42" s="7">
        <v>40356627</v>
      </c>
      <c r="K42" t="s">
        <v>89</v>
      </c>
      <c r="L42" s="17">
        <v>185</v>
      </c>
      <c r="M42" s="5">
        <v>18</v>
      </c>
      <c r="N42" s="6">
        <f t="shared" si="5"/>
        <v>218.29999999999998</v>
      </c>
      <c r="O42" s="18">
        <v>542.60266666666666</v>
      </c>
      <c r="P42" s="7">
        <v>80</v>
      </c>
    </row>
    <row r="43" spans="1:16" x14ac:dyDescent="0.35">
      <c r="A43" s="5" t="str">
        <f t="shared" si="4"/>
        <v>IRA4201943540356654</v>
      </c>
      <c r="B43" s="11" t="s">
        <v>23</v>
      </c>
      <c r="C43" s="7" t="s">
        <v>43</v>
      </c>
      <c r="D43" s="7" t="s">
        <v>72</v>
      </c>
      <c r="E43" s="11" t="s">
        <v>23</v>
      </c>
      <c r="F43" s="11" t="s">
        <v>66</v>
      </c>
      <c r="G43" s="13">
        <v>46237</v>
      </c>
      <c r="H43" s="20">
        <v>46320</v>
      </c>
      <c r="I43" s="7">
        <v>70134900</v>
      </c>
      <c r="J43" s="7">
        <v>40356654</v>
      </c>
      <c r="K43" t="s">
        <v>94</v>
      </c>
      <c r="L43" s="17">
        <v>194.57200000000003</v>
      </c>
      <c r="M43" s="5">
        <v>18</v>
      </c>
      <c r="N43" s="6">
        <f t="shared" si="5"/>
        <v>229.59496000000001</v>
      </c>
      <c r="O43" s="18">
        <v>495.96784313725499</v>
      </c>
      <c r="P43" s="7">
        <v>12</v>
      </c>
    </row>
    <row r="44" spans="1:16" x14ac:dyDescent="0.35">
      <c r="A44" s="5" t="str">
        <f t="shared" si="4"/>
        <v>IRM4328621940356633</v>
      </c>
      <c r="B44" s="11" t="s">
        <v>21</v>
      </c>
      <c r="C44" s="7" t="s">
        <v>59</v>
      </c>
      <c r="D44" s="7" t="s">
        <v>70</v>
      </c>
      <c r="E44" s="11" t="s">
        <v>21</v>
      </c>
      <c r="F44" s="11" t="s">
        <v>30</v>
      </c>
      <c r="G44" s="13">
        <v>46259</v>
      </c>
      <c r="H44" s="20">
        <v>46320</v>
      </c>
      <c r="I44" s="7">
        <v>70134900</v>
      </c>
      <c r="J44" s="7">
        <v>40356633</v>
      </c>
      <c r="K44" t="s">
        <v>92</v>
      </c>
      <c r="L44" s="17">
        <v>208.5</v>
      </c>
      <c r="M44" s="5">
        <v>18</v>
      </c>
      <c r="N44" s="6">
        <f t="shared" si="5"/>
        <v>246.03</v>
      </c>
      <c r="O44" s="18">
        <v>634.22360784313742</v>
      </c>
      <c r="P44" s="7">
        <v>24</v>
      </c>
    </row>
    <row r="45" spans="1:16" x14ac:dyDescent="0.35">
      <c r="A45" s="5" t="str">
        <f t="shared" ref="A45:A70" si="6">_xlfn.CONCAT(C45,J45)</f>
        <v>IRM4328616240356628</v>
      </c>
      <c r="B45" s="11" t="s">
        <v>19</v>
      </c>
      <c r="C45" s="7" t="s">
        <v>61</v>
      </c>
      <c r="D45" s="7" t="s">
        <v>86</v>
      </c>
      <c r="E45" s="11" t="s">
        <v>19</v>
      </c>
      <c r="F45" s="11" t="s">
        <v>27</v>
      </c>
      <c r="G45" s="13">
        <v>46259</v>
      </c>
      <c r="H45" s="20">
        <v>46320</v>
      </c>
      <c r="I45" s="7">
        <v>70134900</v>
      </c>
      <c r="J45" s="7">
        <v>40356628</v>
      </c>
      <c r="K45" t="s">
        <v>108</v>
      </c>
      <c r="L45" s="17">
        <v>189</v>
      </c>
      <c r="M45" s="5">
        <v>18</v>
      </c>
      <c r="N45" s="6">
        <f t="shared" ref="N45:N70" si="7">L45*118%</f>
        <v>223.01999999999998</v>
      </c>
      <c r="O45" s="18">
        <v>506.56666666666666</v>
      </c>
      <c r="P45" s="7">
        <v>8</v>
      </c>
    </row>
    <row r="46" spans="1:16" x14ac:dyDescent="0.35">
      <c r="A46" s="5" t="str">
        <f t="shared" si="6"/>
        <v>IRA4279868940356628</v>
      </c>
      <c r="B46" s="11" t="s">
        <v>20</v>
      </c>
      <c r="C46" s="7" t="s">
        <v>44</v>
      </c>
      <c r="D46" s="7" t="s">
        <v>86</v>
      </c>
      <c r="E46" s="11" t="s">
        <v>20</v>
      </c>
      <c r="F46" s="11" t="s">
        <v>28</v>
      </c>
      <c r="G46" s="13">
        <v>46251</v>
      </c>
      <c r="H46" s="20">
        <v>46320</v>
      </c>
      <c r="I46" s="7">
        <v>70134900</v>
      </c>
      <c r="J46" s="7">
        <v>40356628</v>
      </c>
      <c r="K46" t="s">
        <v>108</v>
      </c>
      <c r="L46" s="17">
        <v>189</v>
      </c>
      <c r="M46" s="5">
        <v>18</v>
      </c>
      <c r="N46" s="6">
        <f t="shared" si="7"/>
        <v>223.01999999999998</v>
      </c>
      <c r="O46" s="18">
        <v>506.56666666666666</v>
      </c>
      <c r="P46" s="7">
        <v>24</v>
      </c>
    </row>
    <row r="47" spans="1:16" x14ac:dyDescent="0.35">
      <c r="A47" s="5" t="str">
        <f t="shared" si="6"/>
        <v>IRA4280056440356628</v>
      </c>
      <c r="B47" s="11" t="s">
        <v>19</v>
      </c>
      <c r="C47" s="7" t="s">
        <v>50</v>
      </c>
      <c r="D47" s="7" t="s">
        <v>86</v>
      </c>
      <c r="E47" s="11" t="s">
        <v>19</v>
      </c>
      <c r="F47" s="11" t="s">
        <v>27</v>
      </c>
      <c r="G47" s="13">
        <v>46251</v>
      </c>
      <c r="H47" s="20">
        <v>46320</v>
      </c>
      <c r="I47" s="7">
        <v>70134900</v>
      </c>
      <c r="J47" s="7">
        <v>40356628</v>
      </c>
      <c r="K47" t="s">
        <v>108</v>
      </c>
      <c r="L47" s="17">
        <v>189</v>
      </c>
      <c r="M47" s="5">
        <v>18</v>
      </c>
      <c r="N47" s="6">
        <f t="shared" si="7"/>
        <v>223.01999999999998</v>
      </c>
      <c r="O47" s="18">
        <v>506.56666666666666</v>
      </c>
      <c r="P47" s="7">
        <v>8</v>
      </c>
    </row>
    <row r="48" spans="1:16" x14ac:dyDescent="0.35">
      <c r="A48" s="5" t="str">
        <f t="shared" si="6"/>
        <v>IRA4280185340356627</v>
      </c>
      <c r="B48" s="11" t="s">
        <v>24</v>
      </c>
      <c r="C48" s="7" t="s">
        <v>39</v>
      </c>
      <c r="D48" s="7" t="s">
        <v>67</v>
      </c>
      <c r="E48" s="11" t="s">
        <v>24</v>
      </c>
      <c r="F48" s="11" t="s">
        <v>65</v>
      </c>
      <c r="G48" s="13">
        <v>46251</v>
      </c>
      <c r="H48" s="20">
        <v>46320</v>
      </c>
      <c r="I48" s="7">
        <v>70134900</v>
      </c>
      <c r="J48" s="7">
        <v>40356627</v>
      </c>
      <c r="K48" t="s">
        <v>89</v>
      </c>
      <c r="L48" s="17">
        <v>185</v>
      </c>
      <c r="M48" s="5">
        <v>18</v>
      </c>
      <c r="N48" s="6">
        <f t="shared" si="7"/>
        <v>218.29999999999998</v>
      </c>
      <c r="O48" s="18">
        <v>542.60266666666666</v>
      </c>
      <c r="P48" s="7">
        <v>32</v>
      </c>
    </row>
    <row r="49" spans="1:16" x14ac:dyDescent="0.35">
      <c r="A49" s="5" t="str">
        <f t="shared" si="6"/>
        <v>IRM4328600540207577</v>
      </c>
      <c r="B49" s="11" t="s">
        <v>23</v>
      </c>
      <c r="C49" s="7" t="s">
        <v>47</v>
      </c>
      <c r="D49" s="7" t="s">
        <v>73</v>
      </c>
      <c r="E49" s="11" t="s">
        <v>23</v>
      </c>
      <c r="F49" s="11" t="s">
        <v>66</v>
      </c>
      <c r="G49" s="13">
        <v>46259</v>
      </c>
      <c r="H49" s="20">
        <v>46320</v>
      </c>
      <c r="I49" s="7">
        <v>70134900</v>
      </c>
      <c r="J49" s="7">
        <v>40207577</v>
      </c>
      <c r="K49" t="s">
        <v>95</v>
      </c>
      <c r="L49" s="17">
        <v>112</v>
      </c>
      <c r="M49" s="5">
        <v>18</v>
      </c>
      <c r="N49" s="6">
        <f t="shared" si="7"/>
        <v>132.16</v>
      </c>
      <c r="O49" s="18">
        <v>372.1364705882354</v>
      </c>
      <c r="P49" s="7">
        <v>72</v>
      </c>
    </row>
    <row r="50" spans="1:16" x14ac:dyDescent="0.35">
      <c r="A50" s="5" t="str">
        <f t="shared" si="6"/>
        <v>IRA4201943540356628</v>
      </c>
      <c r="B50" s="11" t="s">
        <v>23</v>
      </c>
      <c r="C50" s="7" t="s">
        <v>43</v>
      </c>
      <c r="D50" s="7" t="s">
        <v>86</v>
      </c>
      <c r="E50" s="11" t="s">
        <v>23</v>
      </c>
      <c r="F50" s="11" t="s">
        <v>66</v>
      </c>
      <c r="G50" s="13">
        <v>46237</v>
      </c>
      <c r="H50" s="20">
        <v>46320</v>
      </c>
      <c r="I50" s="7">
        <v>70134900</v>
      </c>
      <c r="J50" s="7">
        <v>40356628</v>
      </c>
      <c r="K50" t="s">
        <v>108</v>
      </c>
      <c r="L50" s="17">
        <v>189</v>
      </c>
      <c r="M50" s="5">
        <v>18</v>
      </c>
      <c r="N50" s="6">
        <f t="shared" si="7"/>
        <v>223.01999999999998</v>
      </c>
      <c r="O50" s="18">
        <v>506.56666666666666</v>
      </c>
      <c r="P50" s="7">
        <v>8</v>
      </c>
    </row>
    <row r="51" spans="1:16" x14ac:dyDescent="0.35">
      <c r="A51" s="5" t="str">
        <f t="shared" si="6"/>
        <v>IRM4328564740356627</v>
      </c>
      <c r="B51" s="11" t="s">
        <v>17</v>
      </c>
      <c r="C51" s="7" t="s">
        <v>56</v>
      </c>
      <c r="D51" s="7" t="s">
        <v>67</v>
      </c>
      <c r="E51" s="11" t="s">
        <v>17</v>
      </c>
      <c r="F51" s="11" t="s">
        <v>25</v>
      </c>
      <c r="G51" s="13">
        <v>46259</v>
      </c>
      <c r="H51" s="20">
        <v>46320</v>
      </c>
      <c r="I51" s="7">
        <v>70134900</v>
      </c>
      <c r="J51" s="7">
        <v>40356627</v>
      </c>
      <c r="K51" t="s">
        <v>89</v>
      </c>
      <c r="L51" s="17">
        <v>185</v>
      </c>
      <c r="M51" s="5">
        <v>18</v>
      </c>
      <c r="N51" s="6">
        <f t="shared" si="7"/>
        <v>218.29999999999998</v>
      </c>
      <c r="O51" s="18">
        <v>542.60266666666666</v>
      </c>
      <c r="P51" s="7">
        <v>24</v>
      </c>
    </row>
    <row r="52" spans="1:16" x14ac:dyDescent="0.35">
      <c r="A52" s="5" t="str">
        <f t="shared" si="6"/>
        <v>IRM4328657540356627</v>
      </c>
      <c r="B52" s="11" t="s">
        <v>24</v>
      </c>
      <c r="C52" s="7" t="s">
        <v>55</v>
      </c>
      <c r="D52" s="7" t="s">
        <v>67</v>
      </c>
      <c r="E52" s="11" t="s">
        <v>24</v>
      </c>
      <c r="F52" s="11" t="s">
        <v>65</v>
      </c>
      <c r="G52" s="13">
        <v>46259</v>
      </c>
      <c r="H52" s="20">
        <v>46320</v>
      </c>
      <c r="I52" s="7">
        <v>70134900</v>
      </c>
      <c r="J52" s="7">
        <v>40356627</v>
      </c>
      <c r="K52" t="s">
        <v>89</v>
      </c>
      <c r="L52" s="17">
        <v>185</v>
      </c>
      <c r="M52" s="5">
        <v>18</v>
      </c>
      <c r="N52" s="6">
        <f t="shared" si="7"/>
        <v>218.29999999999998</v>
      </c>
      <c r="O52" s="18">
        <v>542.60266666666666</v>
      </c>
      <c r="P52" s="7">
        <v>32</v>
      </c>
    </row>
    <row r="53" spans="1:16" x14ac:dyDescent="0.35">
      <c r="A53" s="5" t="str">
        <f t="shared" si="6"/>
        <v>IRA4280056440183531</v>
      </c>
      <c r="B53" s="11" t="s">
        <v>19</v>
      </c>
      <c r="C53" s="7" t="s">
        <v>50</v>
      </c>
      <c r="D53" s="7" t="s">
        <v>84</v>
      </c>
      <c r="E53" s="11" t="s">
        <v>19</v>
      </c>
      <c r="F53" s="11" t="s">
        <v>27</v>
      </c>
      <c r="G53" s="13">
        <v>46251</v>
      </c>
      <c r="H53" s="20">
        <v>46320</v>
      </c>
      <c r="I53" s="7">
        <v>70134900</v>
      </c>
      <c r="J53" s="7">
        <v>40183531</v>
      </c>
      <c r="K53" t="s">
        <v>106</v>
      </c>
      <c r="L53" s="17">
        <v>164</v>
      </c>
      <c r="M53" s="5">
        <v>18</v>
      </c>
      <c r="N53" s="6">
        <f t="shared" si="7"/>
        <v>193.51999999999998</v>
      </c>
      <c r="O53" s="18">
        <v>517.16549019607839</v>
      </c>
      <c r="P53" s="7">
        <v>60</v>
      </c>
    </row>
    <row r="54" spans="1:16" x14ac:dyDescent="0.35">
      <c r="A54" s="5" t="str">
        <f t="shared" si="6"/>
        <v>IRA4202133840356637</v>
      </c>
      <c r="B54" s="11" t="s">
        <v>19</v>
      </c>
      <c r="C54" s="7" t="s">
        <v>34</v>
      </c>
      <c r="D54" s="7" t="s">
        <v>79</v>
      </c>
      <c r="E54" s="11" t="s">
        <v>19</v>
      </c>
      <c r="F54" s="11" t="s">
        <v>27</v>
      </c>
      <c r="G54" s="13">
        <v>46237</v>
      </c>
      <c r="H54" s="20">
        <v>46320</v>
      </c>
      <c r="I54" s="7">
        <v>70134900</v>
      </c>
      <c r="J54" s="7">
        <v>40356637</v>
      </c>
      <c r="K54" t="s">
        <v>101</v>
      </c>
      <c r="L54" s="17">
        <v>162.1925</v>
      </c>
      <c r="M54" s="5">
        <v>18</v>
      </c>
      <c r="N54" s="6">
        <f t="shared" si="7"/>
        <v>191.38714999999999</v>
      </c>
      <c r="O54" s="18">
        <v>635.92941176470583</v>
      </c>
      <c r="P54" s="7">
        <v>48</v>
      </c>
    </row>
    <row r="55" spans="1:16" x14ac:dyDescent="0.35">
      <c r="A55" s="5" t="str">
        <f t="shared" si="6"/>
        <v>IRA4202493940356632</v>
      </c>
      <c r="B55" s="11" t="s">
        <v>22</v>
      </c>
      <c r="C55" s="7" t="s">
        <v>41</v>
      </c>
      <c r="D55" s="7" t="s">
        <v>74</v>
      </c>
      <c r="E55" s="11" t="s">
        <v>22</v>
      </c>
      <c r="F55" s="11" t="s">
        <v>31</v>
      </c>
      <c r="G55" s="13">
        <v>46237</v>
      </c>
      <c r="H55" s="20">
        <v>46320</v>
      </c>
      <c r="I55" s="7">
        <v>70134900</v>
      </c>
      <c r="J55" s="7">
        <v>40356632</v>
      </c>
      <c r="K55" t="s">
        <v>96</v>
      </c>
      <c r="L55" s="17">
        <v>200</v>
      </c>
      <c r="M55" s="5">
        <v>18</v>
      </c>
      <c r="N55" s="6">
        <f t="shared" si="7"/>
        <v>236</v>
      </c>
      <c r="O55" s="18">
        <v>568.03984313725493</v>
      </c>
      <c r="P55" s="7">
        <v>40</v>
      </c>
    </row>
    <row r="56" spans="1:16" x14ac:dyDescent="0.35">
      <c r="A56" s="5" t="str">
        <f t="shared" si="6"/>
        <v>IRA4279868940356627</v>
      </c>
      <c r="B56" s="11" t="s">
        <v>20</v>
      </c>
      <c r="C56" s="7" t="s">
        <v>44</v>
      </c>
      <c r="D56" s="7" t="s">
        <v>67</v>
      </c>
      <c r="E56" s="11" t="s">
        <v>20</v>
      </c>
      <c r="F56" s="11" t="s">
        <v>28</v>
      </c>
      <c r="G56" s="13">
        <v>46251</v>
      </c>
      <c r="H56" s="20">
        <v>46320</v>
      </c>
      <c r="I56" s="7">
        <v>70134900</v>
      </c>
      <c r="J56" s="7">
        <v>40356627</v>
      </c>
      <c r="K56" t="s">
        <v>89</v>
      </c>
      <c r="L56" s="17">
        <v>185</v>
      </c>
      <c r="M56" s="5">
        <v>18</v>
      </c>
      <c r="N56" s="6">
        <f t="shared" si="7"/>
        <v>218.29999999999998</v>
      </c>
      <c r="O56" s="18">
        <v>542.60266666666666</v>
      </c>
      <c r="P56" s="7">
        <v>80</v>
      </c>
    </row>
    <row r="57" spans="1:16" x14ac:dyDescent="0.35">
      <c r="A57" s="5" t="str">
        <f t="shared" si="6"/>
        <v>IRM4328616240291322</v>
      </c>
      <c r="B57" s="11" t="s">
        <v>19</v>
      </c>
      <c r="C57" s="7" t="s">
        <v>61</v>
      </c>
      <c r="D57" s="7" t="s">
        <v>78</v>
      </c>
      <c r="E57" s="11" t="s">
        <v>19</v>
      </c>
      <c r="F57" s="11" t="s">
        <v>27</v>
      </c>
      <c r="G57" s="13">
        <v>46259</v>
      </c>
      <c r="H57" s="20">
        <v>46320</v>
      </c>
      <c r="I57" s="7">
        <v>70133700</v>
      </c>
      <c r="J57" s="7">
        <v>40291322</v>
      </c>
      <c r="K57" t="s">
        <v>100</v>
      </c>
      <c r="L57" s="17">
        <v>74.150000000000006</v>
      </c>
      <c r="M57" s="5">
        <v>18</v>
      </c>
      <c r="N57" s="6">
        <f t="shared" si="7"/>
        <v>87.497</v>
      </c>
      <c r="O57" s="18">
        <v>210.54901960784312</v>
      </c>
      <c r="P57" s="7">
        <v>60</v>
      </c>
    </row>
    <row r="58" spans="1:16" x14ac:dyDescent="0.35">
      <c r="A58" s="5" t="str">
        <f t="shared" si="6"/>
        <v>IRA4201966240356628</v>
      </c>
      <c r="B58" s="11" t="s">
        <v>20</v>
      </c>
      <c r="C58" s="7" t="s">
        <v>32</v>
      </c>
      <c r="D58" s="7" t="s">
        <v>86</v>
      </c>
      <c r="E58" s="11" t="s">
        <v>20</v>
      </c>
      <c r="F58" s="11" t="s">
        <v>28</v>
      </c>
      <c r="G58" s="13">
        <v>46237</v>
      </c>
      <c r="H58" s="20">
        <v>46320</v>
      </c>
      <c r="I58" s="7">
        <v>70134900</v>
      </c>
      <c r="J58" s="7">
        <v>40356628</v>
      </c>
      <c r="K58" t="s">
        <v>108</v>
      </c>
      <c r="L58" s="17">
        <v>189</v>
      </c>
      <c r="M58" s="5">
        <v>18</v>
      </c>
      <c r="N58" s="6">
        <f t="shared" si="7"/>
        <v>223.01999999999998</v>
      </c>
      <c r="O58" s="18">
        <v>506.56666666666666</v>
      </c>
      <c r="P58" s="7">
        <v>8</v>
      </c>
    </row>
    <row r="59" spans="1:16" x14ac:dyDescent="0.35">
      <c r="A59" s="5" t="str">
        <f t="shared" si="6"/>
        <v>IRA4202276740356632</v>
      </c>
      <c r="B59" s="11" t="s">
        <v>24</v>
      </c>
      <c r="C59" s="7" t="s">
        <v>40</v>
      </c>
      <c r="D59" s="7" t="s">
        <v>74</v>
      </c>
      <c r="E59" s="11" t="s">
        <v>24</v>
      </c>
      <c r="F59" s="11" t="s">
        <v>65</v>
      </c>
      <c r="G59" s="13">
        <v>46237</v>
      </c>
      <c r="H59" s="20">
        <v>46320</v>
      </c>
      <c r="I59" s="7">
        <v>70134900</v>
      </c>
      <c r="J59" s="7">
        <v>40356632</v>
      </c>
      <c r="K59" t="s">
        <v>96</v>
      </c>
      <c r="L59" s="17">
        <v>200</v>
      </c>
      <c r="M59" s="5">
        <v>18</v>
      </c>
      <c r="N59" s="6">
        <f t="shared" si="7"/>
        <v>236</v>
      </c>
      <c r="O59" s="18">
        <v>568.03984313725493</v>
      </c>
      <c r="P59" s="7">
        <v>16</v>
      </c>
    </row>
    <row r="60" spans="1:16" x14ac:dyDescent="0.35">
      <c r="A60" s="5" t="str">
        <f t="shared" si="6"/>
        <v>IRA4279685840356632</v>
      </c>
      <c r="B60" s="11" t="s">
        <v>15</v>
      </c>
      <c r="C60" s="7" t="s">
        <v>37</v>
      </c>
      <c r="D60" s="7" t="s">
        <v>74</v>
      </c>
      <c r="E60" s="11" t="s">
        <v>15</v>
      </c>
      <c r="F60" s="11" t="s">
        <v>16</v>
      </c>
      <c r="G60" s="13">
        <v>46251</v>
      </c>
      <c r="H60" s="20">
        <v>46320</v>
      </c>
      <c r="I60" s="7">
        <v>70134900</v>
      </c>
      <c r="J60" s="7">
        <v>40356632</v>
      </c>
      <c r="K60" t="s">
        <v>96</v>
      </c>
      <c r="L60" s="17">
        <v>200</v>
      </c>
      <c r="M60" s="5">
        <v>18</v>
      </c>
      <c r="N60" s="6">
        <f t="shared" si="7"/>
        <v>236</v>
      </c>
      <c r="O60" s="18">
        <v>568.03984313725493</v>
      </c>
      <c r="P60" s="7">
        <v>40</v>
      </c>
    </row>
    <row r="61" spans="1:16" x14ac:dyDescent="0.35">
      <c r="A61" s="5" t="str">
        <f t="shared" si="6"/>
        <v>IRA4279868940183531</v>
      </c>
      <c r="B61" s="11" t="s">
        <v>20</v>
      </c>
      <c r="C61" s="7" t="s">
        <v>44</v>
      </c>
      <c r="D61" s="7" t="s">
        <v>84</v>
      </c>
      <c r="E61" s="11" t="s">
        <v>20</v>
      </c>
      <c r="F61" s="11" t="s">
        <v>28</v>
      </c>
      <c r="G61" s="13">
        <v>46251</v>
      </c>
      <c r="H61" s="20">
        <v>46320</v>
      </c>
      <c r="I61" s="7">
        <v>70134900</v>
      </c>
      <c r="J61" s="7">
        <v>40183531</v>
      </c>
      <c r="K61" t="s">
        <v>106</v>
      </c>
      <c r="L61" s="17">
        <v>164</v>
      </c>
      <c r="M61" s="5">
        <v>18</v>
      </c>
      <c r="N61" s="6">
        <f t="shared" si="7"/>
        <v>193.51999999999998</v>
      </c>
      <c r="O61" s="18">
        <v>517.16549019607839</v>
      </c>
      <c r="P61" s="7">
        <v>60</v>
      </c>
    </row>
    <row r="62" spans="1:16" x14ac:dyDescent="0.35">
      <c r="A62" s="5" t="str">
        <f t="shared" si="6"/>
        <v>IRA4280185340356632</v>
      </c>
      <c r="B62" s="11" t="s">
        <v>24</v>
      </c>
      <c r="C62" s="7" t="s">
        <v>39</v>
      </c>
      <c r="D62" s="7" t="s">
        <v>74</v>
      </c>
      <c r="E62" s="11" t="s">
        <v>24</v>
      </c>
      <c r="F62" s="11" t="s">
        <v>65</v>
      </c>
      <c r="G62" s="13">
        <v>46251</v>
      </c>
      <c r="H62" s="20">
        <v>46320</v>
      </c>
      <c r="I62" s="7">
        <v>70134900</v>
      </c>
      <c r="J62" s="7">
        <v>40356632</v>
      </c>
      <c r="K62" t="s">
        <v>96</v>
      </c>
      <c r="L62" s="17">
        <v>200</v>
      </c>
      <c r="M62" s="5">
        <v>18</v>
      </c>
      <c r="N62" s="6">
        <f t="shared" si="7"/>
        <v>236</v>
      </c>
      <c r="O62" s="18">
        <v>568.03984313725493</v>
      </c>
      <c r="P62" s="7">
        <v>96</v>
      </c>
    </row>
    <row r="63" spans="1:16" x14ac:dyDescent="0.35">
      <c r="A63" s="5" t="str">
        <f t="shared" si="6"/>
        <v>IRM4328600540356627</v>
      </c>
      <c r="B63" s="11" t="s">
        <v>23</v>
      </c>
      <c r="C63" s="7" t="s">
        <v>47</v>
      </c>
      <c r="D63" s="7" t="s">
        <v>67</v>
      </c>
      <c r="E63" s="11" t="s">
        <v>23</v>
      </c>
      <c r="F63" s="11" t="s">
        <v>66</v>
      </c>
      <c r="G63" s="13">
        <v>46259</v>
      </c>
      <c r="H63" s="20">
        <v>46320</v>
      </c>
      <c r="I63" s="7">
        <v>70134900</v>
      </c>
      <c r="J63" s="7">
        <v>40356627</v>
      </c>
      <c r="K63" t="s">
        <v>89</v>
      </c>
      <c r="L63" s="17">
        <v>185</v>
      </c>
      <c r="M63" s="5">
        <v>18</v>
      </c>
      <c r="N63" s="6">
        <f t="shared" si="7"/>
        <v>218.29999999999998</v>
      </c>
      <c r="O63" s="18">
        <v>542.60266666666666</v>
      </c>
      <c r="P63" s="7">
        <v>48</v>
      </c>
    </row>
    <row r="64" spans="1:16" x14ac:dyDescent="0.35">
      <c r="A64" s="5" t="str">
        <f t="shared" si="6"/>
        <v>IRM4328616240356633</v>
      </c>
      <c r="B64" s="11" t="s">
        <v>19</v>
      </c>
      <c r="C64" s="7" t="s">
        <v>61</v>
      </c>
      <c r="D64" s="7" t="s">
        <v>70</v>
      </c>
      <c r="E64" s="11" t="s">
        <v>19</v>
      </c>
      <c r="F64" s="11" t="s">
        <v>27</v>
      </c>
      <c r="G64" s="13">
        <v>46259</v>
      </c>
      <c r="H64" s="20">
        <v>46320</v>
      </c>
      <c r="I64" s="7">
        <v>70134900</v>
      </c>
      <c r="J64" s="7">
        <v>40356633</v>
      </c>
      <c r="K64" t="s">
        <v>92</v>
      </c>
      <c r="L64" s="17">
        <v>208.5</v>
      </c>
      <c r="M64" s="5">
        <v>18</v>
      </c>
      <c r="N64" s="6">
        <f t="shared" si="7"/>
        <v>246.03</v>
      </c>
      <c r="O64" s="18">
        <v>634.22360784313742</v>
      </c>
      <c r="P64" s="7">
        <v>32</v>
      </c>
    </row>
    <row r="65" spans="1:16" x14ac:dyDescent="0.35">
      <c r="A65" s="5" t="str">
        <f t="shared" si="6"/>
        <v>IRA4279762340356628</v>
      </c>
      <c r="B65" s="11" t="s">
        <v>23</v>
      </c>
      <c r="C65" s="7" t="s">
        <v>49</v>
      </c>
      <c r="D65" s="7" t="s">
        <v>86</v>
      </c>
      <c r="E65" s="11" t="s">
        <v>23</v>
      </c>
      <c r="F65" s="11" t="s">
        <v>66</v>
      </c>
      <c r="G65" s="13">
        <v>46251</v>
      </c>
      <c r="H65" s="20">
        <v>46320</v>
      </c>
      <c r="I65" s="7">
        <v>70134900</v>
      </c>
      <c r="J65" s="7">
        <v>40356628</v>
      </c>
      <c r="K65" t="s">
        <v>108</v>
      </c>
      <c r="L65" s="17">
        <v>189</v>
      </c>
      <c r="M65" s="5">
        <v>18</v>
      </c>
      <c r="N65" s="6">
        <f t="shared" si="7"/>
        <v>223.01999999999998</v>
      </c>
      <c r="O65" s="18">
        <v>506.56666666666666</v>
      </c>
      <c r="P65" s="7">
        <v>24</v>
      </c>
    </row>
    <row r="66" spans="1:16" x14ac:dyDescent="0.35">
      <c r="A66" s="5" t="str">
        <f t="shared" si="6"/>
        <v>IRA4279685840356637</v>
      </c>
      <c r="B66" s="11" t="s">
        <v>15</v>
      </c>
      <c r="C66" s="7" t="s">
        <v>37</v>
      </c>
      <c r="D66" s="7" t="s">
        <v>79</v>
      </c>
      <c r="E66" s="11" t="s">
        <v>15</v>
      </c>
      <c r="F66" s="11" t="s">
        <v>16</v>
      </c>
      <c r="G66" s="13">
        <v>46251</v>
      </c>
      <c r="H66" s="20">
        <v>46320</v>
      </c>
      <c r="I66" s="7">
        <v>70134900</v>
      </c>
      <c r="J66" s="7">
        <v>40356637</v>
      </c>
      <c r="K66" t="s">
        <v>101</v>
      </c>
      <c r="L66" s="17">
        <v>162.1925</v>
      </c>
      <c r="M66" s="5">
        <v>18</v>
      </c>
      <c r="N66" s="6">
        <f t="shared" si="7"/>
        <v>191.38714999999999</v>
      </c>
      <c r="O66" s="18">
        <v>635.92941176470583</v>
      </c>
      <c r="P66" s="7">
        <v>48</v>
      </c>
    </row>
    <row r="67" spans="1:16" x14ac:dyDescent="0.35">
      <c r="A67" s="5" t="str">
        <f t="shared" si="6"/>
        <v>IRM4328616340207577</v>
      </c>
      <c r="B67" s="11" t="s">
        <v>15</v>
      </c>
      <c r="C67" s="7" t="s">
        <v>46</v>
      </c>
      <c r="D67" s="7" t="s">
        <v>73</v>
      </c>
      <c r="E67" s="11" t="s">
        <v>15</v>
      </c>
      <c r="F67" s="11" t="s">
        <v>16</v>
      </c>
      <c r="G67" s="13">
        <v>46259</v>
      </c>
      <c r="H67" s="20">
        <v>46320</v>
      </c>
      <c r="I67" s="7">
        <v>70134900</v>
      </c>
      <c r="J67" s="7">
        <v>40207577</v>
      </c>
      <c r="K67" t="s">
        <v>95</v>
      </c>
      <c r="L67" s="17">
        <v>112</v>
      </c>
      <c r="M67" s="5">
        <v>18</v>
      </c>
      <c r="N67" s="6">
        <f t="shared" si="7"/>
        <v>132.16</v>
      </c>
      <c r="O67" s="18">
        <v>372.1364705882354</v>
      </c>
      <c r="P67" s="7">
        <v>90</v>
      </c>
    </row>
    <row r="68" spans="1:16" x14ac:dyDescent="0.35">
      <c r="A68" s="5" t="str">
        <f t="shared" si="6"/>
        <v>IRA4279491640356627</v>
      </c>
      <c r="B68" s="11" t="s">
        <v>21</v>
      </c>
      <c r="C68" s="7" t="s">
        <v>33</v>
      </c>
      <c r="D68" s="7" t="s">
        <v>67</v>
      </c>
      <c r="E68" s="11" t="s">
        <v>21</v>
      </c>
      <c r="F68" s="11" t="s">
        <v>30</v>
      </c>
      <c r="G68" s="13">
        <v>46251</v>
      </c>
      <c r="H68" s="20">
        <v>46320</v>
      </c>
      <c r="I68" s="7">
        <v>70134900</v>
      </c>
      <c r="J68" s="7">
        <v>40356627</v>
      </c>
      <c r="K68" t="s">
        <v>89</v>
      </c>
      <c r="L68" s="17">
        <v>185</v>
      </c>
      <c r="M68" s="5">
        <v>18</v>
      </c>
      <c r="N68" s="6">
        <f t="shared" si="7"/>
        <v>218.29999999999998</v>
      </c>
      <c r="O68" s="18">
        <v>542.60266666666666</v>
      </c>
      <c r="P68" s="7">
        <v>32</v>
      </c>
    </row>
    <row r="69" spans="1:16" x14ac:dyDescent="0.35">
      <c r="A69" s="5" t="str">
        <f t="shared" si="6"/>
        <v>IRA4201766740356633</v>
      </c>
      <c r="B69" s="11" t="s">
        <v>15</v>
      </c>
      <c r="C69" s="7" t="s">
        <v>48</v>
      </c>
      <c r="D69" s="7" t="s">
        <v>70</v>
      </c>
      <c r="E69" s="11" t="s">
        <v>15</v>
      </c>
      <c r="F69" s="11" t="s">
        <v>16</v>
      </c>
      <c r="G69" s="13">
        <v>46237</v>
      </c>
      <c r="H69" s="20">
        <v>46320</v>
      </c>
      <c r="I69" s="7">
        <v>70134900</v>
      </c>
      <c r="J69" s="7">
        <v>40356633</v>
      </c>
      <c r="K69" t="s">
        <v>92</v>
      </c>
      <c r="L69" s="17">
        <v>208.5</v>
      </c>
      <c r="M69" s="5">
        <v>18</v>
      </c>
      <c r="N69" s="6">
        <f t="shared" si="7"/>
        <v>246.03</v>
      </c>
      <c r="O69" s="18">
        <v>634.22360784313742</v>
      </c>
      <c r="P69" s="7">
        <v>16</v>
      </c>
    </row>
    <row r="70" spans="1:16" x14ac:dyDescent="0.35">
      <c r="A70" s="5" t="str">
        <f t="shared" si="6"/>
        <v>IRM4328621940356627</v>
      </c>
      <c r="B70" s="11" t="s">
        <v>21</v>
      </c>
      <c r="C70" s="7" t="s">
        <v>59</v>
      </c>
      <c r="D70" s="7" t="s">
        <v>67</v>
      </c>
      <c r="E70" s="11" t="s">
        <v>21</v>
      </c>
      <c r="F70" s="11" t="s">
        <v>30</v>
      </c>
      <c r="G70" s="13">
        <v>46259</v>
      </c>
      <c r="H70" s="20">
        <v>46320</v>
      </c>
      <c r="I70" s="7">
        <v>70134900</v>
      </c>
      <c r="J70" s="7">
        <v>40356627</v>
      </c>
      <c r="K70" t="s">
        <v>89</v>
      </c>
      <c r="L70" s="17">
        <v>185</v>
      </c>
      <c r="M70" s="5">
        <v>18</v>
      </c>
      <c r="N70" s="6">
        <f t="shared" si="7"/>
        <v>218.29999999999998</v>
      </c>
      <c r="O70" s="18">
        <v>542.60266666666666</v>
      </c>
      <c r="P70" s="7">
        <v>40</v>
      </c>
    </row>
    <row r="71" spans="1:16" x14ac:dyDescent="0.35">
      <c r="A71" s="5" t="str">
        <f t="shared" ref="A71:A86" si="8">_xlfn.CONCAT(C71,J71)</f>
        <v>IRA4279762340183558</v>
      </c>
      <c r="B71" s="11" t="s">
        <v>23</v>
      </c>
      <c r="C71" s="7" t="s">
        <v>49</v>
      </c>
      <c r="D71" s="7" t="s">
        <v>77</v>
      </c>
      <c r="E71" s="11" t="s">
        <v>23</v>
      </c>
      <c r="F71" s="11" t="s">
        <v>66</v>
      </c>
      <c r="G71" s="13">
        <v>46251</v>
      </c>
      <c r="H71" s="20">
        <v>46320</v>
      </c>
      <c r="I71" s="7">
        <v>70134900</v>
      </c>
      <c r="J71" s="7">
        <v>40183558</v>
      </c>
      <c r="K71" t="s">
        <v>99</v>
      </c>
      <c r="L71" s="17">
        <v>255</v>
      </c>
      <c r="M71" s="5">
        <v>18</v>
      </c>
      <c r="N71" s="6">
        <f t="shared" ref="N71:N86" si="9">L71*118%</f>
        <v>300.89999999999998</v>
      </c>
      <c r="O71" s="18">
        <v>683.03529411764714</v>
      </c>
      <c r="P71" s="7">
        <v>36</v>
      </c>
    </row>
    <row r="72" spans="1:16" x14ac:dyDescent="0.35">
      <c r="A72" s="5" t="str">
        <f t="shared" si="8"/>
        <v>IRA4280407440291322</v>
      </c>
      <c r="B72" s="11" t="s">
        <v>22</v>
      </c>
      <c r="C72" s="7" t="s">
        <v>52</v>
      </c>
      <c r="D72" s="7" t="s">
        <v>78</v>
      </c>
      <c r="E72" s="11" t="s">
        <v>22</v>
      </c>
      <c r="F72" s="11" t="s">
        <v>31</v>
      </c>
      <c r="G72" s="13">
        <v>46251</v>
      </c>
      <c r="H72" s="20">
        <v>46320</v>
      </c>
      <c r="I72" s="7">
        <v>70133700</v>
      </c>
      <c r="J72" s="7">
        <v>40291322</v>
      </c>
      <c r="K72" t="s">
        <v>100</v>
      </c>
      <c r="L72" s="17">
        <v>74.150000000000006</v>
      </c>
      <c r="M72" s="5">
        <v>18</v>
      </c>
      <c r="N72" s="6">
        <f t="shared" si="9"/>
        <v>87.497</v>
      </c>
      <c r="O72" s="18">
        <v>210.54901960784312</v>
      </c>
      <c r="P72" s="7">
        <v>90</v>
      </c>
    </row>
    <row r="73" spans="1:16" x14ac:dyDescent="0.35">
      <c r="A73" s="5" t="str">
        <f t="shared" si="8"/>
        <v>IRA4280056440183555</v>
      </c>
      <c r="B73" s="11" t="s">
        <v>19</v>
      </c>
      <c r="C73" s="7" t="s">
        <v>50</v>
      </c>
      <c r="D73" s="7" t="s">
        <v>87</v>
      </c>
      <c r="E73" s="11" t="s">
        <v>19</v>
      </c>
      <c r="F73" s="11" t="s">
        <v>27</v>
      </c>
      <c r="G73" s="13">
        <v>46251</v>
      </c>
      <c r="H73" s="20">
        <v>46320</v>
      </c>
      <c r="I73" s="7">
        <v>70134900</v>
      </c>
      <c r="J73" s="7">
        <v>40183555</v>
      </c>
      <c r="K73" t="s">
        <v>109</v>
      </c>
      <c r="L73" s="17">
        <v>255</v>
      </c>
      <c r="M73" s="5">
        <v>18</v>
      </c>
      <c r="N73" s="6">
        <f t="shared" si="9"/>
        <v>300.89999999999998</v>
      </c>
      <c r="O73" s="18">
        <v>683.03529411764714</v>
      </c>
      <c r="P73" s="7">
        <v>24</v>
      </c>
    </row>
    <row r="74" spans="1:16" x14ac:dyDescent="0.35">
      <c r="A74" s="5" t="str">
        <f t="shared" si="8"/>
        <v>IRA4201966240356633</v>
      </c>
      <c r="B74" s="11" t="s">
        <v>20</v>
      </c>
      <c r="C74" s="7" t="s">
        <v>32</v>
      </c>
      <c r="D74" s="7" t="s">
        <v>70</v>
      </c>
      <c r="E74" s="11" t="s">
        <v>20</v>
      </c>
      <c r="F74" s="11" t="s">
        <v>28</v>
      </c>
      <c r="G74" s="13">
        <v>46237</v>
      </c>
      <c r="H74" s="20">
        <v>46320</v>
      </c>
      <c r="I74" s="7">
        <v>70134900</v>
      </c>
      <c r="J74" s="7">
        <v>40356633</v>
      </c>
      <c r="K74" t="s">
        <v>92</v>
      </c>
      <c r="L74" s="17">
        <v>208.5</v>
      </c>
      <c r="M74" s="5">
        <v>18</v>
      </c>
      <c r="N74" s="6">
        <f t="shared" si="9"/>
        <v>246.03</v>
      </c>
      <c r="O74" s="18">
        <v>634.22360784313742</v>
      </c>
      <c r="P74" s="7">
        <v>16</v>
      </c>
    </row>
    <row r="75" spans="1:16" x14ac:dyDescent="0.35">
      <c r="A75" s="5" t="str">
        <f t="shared" si="8"/>
        <v>IRA4279685840207580</v>
      </c>
      <c r="B75" s="11" t="s">
        <v>15</v>
      </c>
      <c r="C75" s="7" t="s">
        <v>37</v>
      </c>
      <c r="D75" s="7" t="s">
        <v>71</v>
      </c>
      <c r="E75" s="11" t="s">
        <v>15</v>
      </c>
      <c r="F75" s="11" t="s">
        <v>16</v>
      </c>
      <c r="G75" s="13">
        <v>46251</v>
      </c>
      <c r="H75" s="20">
        <v>46320</v>
      </c>
      <c r="I75" s="7">
        <v>70134900</v>
      </c>
      <c r="J75" s="7">
        <v>40207580</v>
      </c>
      <c r="K75" t="s">
        <v>93</v>
      </c>
      <c r="L75" s="17">
        <v>167.01999999999998</v>
      </c>
      <c r="M75" s="5">
        <v>18</v>
      </c>
      <c r="N75" s="6">
        <f t="shared" si="9"/>
        <v>197.08359999999996</v>
      </c>
      <c r="O75" s="18">
        <v>425.73725490196074</v>
      </c>
      <c r="P75" s="7">
        <v>30</v>
      </c>
    </row>
    <row r="76" spans="1:16" x14ac:dyDescent="0.35">
      <c r="A76" s="5" t="str">
        <f t="shared" si="8"/>
        <v>IRA4201943540183558</v>
      </c>
      <c r="B76" s="11" t="s">
        <v>23</v>
      </c>
      <c r="C76" s="7" t="s">
        <v>43</v>
      </c>
      <c r="D76" s="7" t="s">
        <v>77</v>
      </c>
      <c r="E76" s="11" t="s">
        <v>23</v>
      </c>
      <c r="F76" s="11" t="s">
        <v>66</v>
      </c>
      <c r="G76" s="13">
        <v>46237</v>
      </c>
      <c r="H76" s="20">
        <v>46320</v>
      </c>
      <c r="I76" s="7">
        <v>70134900</v>
      </c>
      <c r="J76" s="7">
        <v>40183558</v>
      </c>
      <c r="K76" t="s">
        <v>99</v>
      </c>
      <c r="L76" s="17">
        <v>255</v>
      </c>
      <c r="M76" s="5">
        <v>18</v>
      </c>
      <c r="N76" s="6">
        <f t="shared" si="9"/>
        <v>300.89999999999998</v>
      </c>
      <c r="O76" s="18">
        <v>683.03529411764714</v>
      </c>
      <c r="P76" s="7">
        <v>24</v>
      </c>
    </row>
    <row r="77" spans="1:16" x14ac:dyDescent="0.35">
      <c r="A77" s="5" t="str">
        <f t="shared" si="8"/>
        <v>IRA4202276740240201</v>
      </c>
      <c r="B77" s="11" t="s">
        <v>24</v>
      </c>
      <c r="C77" s="7" t="s">
        <v>40</v>
      </c>
      <c r="D77" s="7" t="s">
        <v>76</v>
      </c>
      <c r="E77" s="11" t="s">
        <v>24</v>
      </c>
      <c r="F77" s="11" t="s">
        <v>65</v>
      </c>
      <c r="G77" s="13">
        <v>46237</v>
      </c>
      <c r="H77" s="20">
        <v>46320</v>
      </c>
      <c r="I77" s="7">
        <v>70134900</v>
      </c>
      <c r="J77" s="7">
        <v>40240201</v>
      </c>
      <c r="K77" t="s">
        <v>98</v>
      </c>
      <c r="L77" s="17">
        <v>114.75</v>
      </c>
      <c r="M77" s="5">
        <v>18</v>
      </c>
      <c r="N77" s="6">
        <f t="shared" si="9"/>
        <v>135.405</v>
      </c>
      <c r="O77" s="18">
        <v>225</v>
      </c>
      <c r="P77" s="7">
        <v>120</v>
      </c>
    </row>
    <row r="78" spans="1:16" x14ac:dyDescent="0.35">
      <c r="A78" s="5" t="str">
        <f t="shared" si="8"/>
        <v>IRM4328600040207580</v>
      </c>
      <c r="B78" s="11" t="s">
        <v>15</v>
      </c>
      <c r="C78" s="7" t="s">
        <v>35</v>
      </c>
      <c r="D78" s="7" t="s">
        <v>71</v>
      </c>
      <c r="E78" s="11" t="s">
        <v>15</v>
      </c>
      <c r="F78" s="11" t="s">
        <v>16</v>
      </c>
      <c r="G78" s="13">
        <v>46259</v>
      </c>
      <c r="H78" s="20">
        <v>46320</v>
      </c>
      <c r="I78" s="7">
        <v>70134900</v>
      </c>
      <c r="J78" s="7">
        <v>40207580</v>
      </c>
      <c r="K78" t="s">
        <v>93</v>
      </c>
      <c r="L78" s="17">
        <v>167.01999999999998</v>
      </c>
      <c r="M78" s="5">
        <v>18</v>
      </c>
      <c r="N78" s="6">
        <f t="shared" si="9"/>
        <v>197.08359999999996</v>
      </c>
      <c r="O78" s="18">
        <v>425.73725490196074</v>
      </c>
      <c r="P78" s="7">
        <v>30</v>
      </c>
    </row>
    <row r="79" spans="1:16" x14ac:dyDescent="0.35">
      <c r="A79" s="5" t="str">
        <f t="shared" si="8"/>
        <v>IRM4328616240207580</v>
      </c>
      <c r="B79" s="11" t="s">
        <v>19</v>
      </c>
      <c r="C79" s="7" t="s">
        <v>61</v>
      </c>
      <c r="D79" s="7" t="s">
        <v>71</v>
      </c>
      <c r="E79" s="11" t="s">
        <v>19</v>
      </c>
      <c r="F79" s="11" t="s">
        <v>27</v>
      </c>
      <c r="G79" s="13">
        <v>46259</v>
      </c>
      <c r="H79" s="20">
        <v>46320</v>
      </c>
      <c r="I79" s="7">
        <v>70134900</v>
      </c>
      <c r="J79" s="7">
        <v>40207580</v>
      </c>
      <c r="K79" t="s">
        <v>93</v>
      </c>
      <c r="L79" s="17">
        <v>167.01999999999998</v>
      </c>
      <c r="M79" s="5">
        <v>18</v>
      </c>
      <c r="N79" s="6">
        <f t="shared" si="9"/>
        <v>197.08359999999996</v>
      </c>
      <c r="O79" s="18">
        <v>425.73725490196074</v>
      </c>
      <c r="P79" s="7">
        <v>10</v>
      </c>
    </row>
    <row r="80" spans="1:16" x14ac:dyDescent="0.35">
      <c r="A80" s="5" t="str">
        <f t="shared" si="8"/>
        <v>IRM4328620940207580</v>
      </c>
      <c r="B80" s="11" t="s">
        <v>20</v>
      </c>
      <c r="C80" s="7" t="s">
        <v>53</v>
      </c>
      <c r="D80" s="7" t="s">
        <v>71</v>
      </c>
      <c r="E80" s="11" t="s">
        <v>20</v>
      </c>
      <c r="F80" s="11" t="s">
        <v>28</v>
      </c>
      <c r="G80" s="13">
        <v>46259</v>
      </c>
      <c r="H80" s="20">
        <v>46320</v>
      </c>
      <c r="I80" s="7">
        <v>70134900</v>
      </c>
      <c r="J80" s="7">
        <v>40207580</v>
      </c>
      <c r="K80" t="s">
        <v>93</v>
      </c>
      <c r="L80" s="17">
        <v>167.01999999999998</v>
      </c>
      <c r="M80" s="5">
        <v>18</v>
      </c>
      <c r="N80" s="6">
        <f t="shared" si="9"/>
        <v>197.08359999999996</v>
      </c>
      <c r="O80" s="18">
        <v>425.73725490196074</v>
      </c>
      <c r="P80" s="7">
        <v>130</v>
      </c>
    </row>
    <row r="81" spans="1:16" x14ac:dyDescent="0.35">
      <c r="A81" s="5" t="str">
        <f t="shared" si="8"/>
        <v>IRA4279762340356627</v>
      </c>
      <c r="B81" s="11" t="s">
        <v>23</v>
      </c>
      <c r="C81" s="7" t="s">
        <v>49</v>
      </c>
      <c r="D81" s="7" t="s">
        <v>67</v>
      </c>
      <c r="E81" s="11" t="s">
        <v>23</v>
      </c>
      <c r="F81" s="11" t="s">
        <v>66</v>
      </c>
      <c r="G81" s="13">
        <v>46251</v>
      </c>
      <c r="H81" s="20">
        <v>46320</v>
      </c>
      <c r="I81" s="7">
        <v>70134900</v>
      </c>
      <c r="J81" s="7">
        <v>40356627</v>
      </c>
      <c r="K81" t="s">
        <v>89</v>
      </c>
      <c r="L81" s="17">
        <v>185</v>
      </c>
      <c r="M81" s="5">
        <v>18</v>
      </c>
      <c r="N81" s="6">
        <f t="shared" si="9"/>
        <v>218.29999999999998</v>
      </c>
      <c r="O81" s="18">
        <v>542.60266666666666</v>
      </c>
      <c r="P81" s="7">
        <v>8</v>
      </c>
    </row>
    <row r="82" spans="1:16" x14ac:dyDescent="0.35">
      <c r="A82" s="5" t="str">
        <f t="shared" si="8"/>
        <v>IRM4328596740183558</v>
      </c>
      <c r="B82" s="11" t="s">
        <v>23</v>
      </c>
      <c r="C82" s="7" t="s">
        <v>58</v>
      </c>
      <c r="D82" s="7" t="s">
        <v>77</v>
      </c>
      <c r="E82" s="11" t="s">
        <v>23</v>
      </c>
      <c r="F82" s="11" t="s">
        <v>66</v>
      </c>
      <c r="G82" s="13">
        <v>46259</v>
      </c>
      <c r="H82" s="20">
        <v>46320</v>
      </c>
      <c r="I82" s="7">
        <v>70134900</v>
      </c>
      <c r="J82" s="7">
        <v>40183558</v>
      </c>
      <c r="K82" t="s">
        <v>99</v>
      </c>
      <c r="L82" s="17">
        <v>255</v>
      </c>
      <c r="M82" s="5">
        <v>18</v>
      </c>
      <c r="N82" s="6">
        <f t="shared" si="9"/>
        <v>300.89999999999998</v>
      </c>
      <c r="O82" s="18">
        <v>683.03529411764714</v>
      </c>
      <c r="P82" s="7">
        <v>12</v>
      </c>
    </row>
    <row r="83" spans="1:16" x14ac:dyDescent="0.35">
      <c r="A83" s="5" t="str">
        <f t="shared" si="8"/>
        <v>IRA4279462140356639</v>
      </c>
      <c r="B83" s="11" t="s">
        <v>18</v>
      </c>
      <c r="C83" s="7" t="s">
        <v>45</v>
      </c>
      <c r="D83" s="7" t="s">
        <v>82</v>
      </c>
      <c r="E83" s="11" t="s">
        <v>18</v>
      </c>
      <c r="F83" s="11" t="s">
        <v>26</v>
      </c>
      <c r="G83" s="13">
        <v>46251</v>
      </c>
      <c r="H83" s="20">
        <v>46320</v>
      </c>
      <c r="I83" s="7">
        <v>70134900</v>
      </c>
      <c r="J83" s="7">
        <v>40356639</v>
      </c>
      <c r="K83" t="s">
        <v>104</v>
      </c>
      <c r="L83" s="17">
        <v>122</v>
      </c>
      <c r="M83" s="5">
        <v>18</v>
      </c>
      <c r="N83" s="6">
        <f t="shared" si="9"/>
        <v>143.95999999999998</v>
      </c>
      <c r="O83" s="18">
        <v>410.74901960784314</v>
      </c>
      <c r="P83" s="7">
        <v>16</v>
      </c>
    </row>
    <row r="84" spans="1:16" x14ac:dyDescent="0.35">
      <c r="A84" s="5" t="str">
        <f t="shared" si="8"/>
        <v>IRA4202493940291322</v>
      </c>
      <c r="B84" s="11" t="s">
        <v>22</v>
      </c>
      <c r="C84" s="7" t="s">
        <v>41</v>
      </c>
      <c r="D84" s="7" t="s">
        <v>78</v>
      </c>
      <c r="E84" s="11" t="s">
        <v>22</v>
      </c>
      <c r="F84" s="11" t="s">
        <v>31</v>
      </c>
      <c r="G84" s="13">
        <v>46237</v>
      </c>
      <c r="H84" s="20">
        <v>46320</v>
      </c>
      <c r="I84" s="7">
        <v>70133700</v>
      </c>
      <c r="J84" s="7">
        <v>40291322</v>
      </c>
      <c r="K84" t="s">
        <v>100</v>
      </c>
      <c r="L84" s="17">
        <v>74.150000000000006</v>
      </c>
      <c r="M84" s="5">
        <v>18</v>
      </c>
      <c r="N84" s="6">
        <f t="shared" si="9"/>
        <v>87.497</v>
      </c>
      <c r="O84" s="18">
        <v>210.54901960784312</v>
      </c>
      <c r="P84" s="7">
        <v>10</v>
      </c>
    </row>
    <row r="85" spans="1:16" x14ac:dyDescent="0.35">
      <c r="A85" s="5" t="str">
        <f t="shared" si="8"/>
        <v>IRM4328616240356637</v>
      </c>
      <c r="B85" s="11" t="s">
        <v>19</v>
      </c>
      <c r="C85" s="7" t="s">
        <v>61</v>
      </c>
      <c r="D85" s="7" t="s">
        <v>79</v>
      </c>
      <c r="E85" s="11" t="s">
        <v>19</v>
      </c>
      <c r="F85" s="11" t="s">
        <v>27</v>
      </c>
      <c r="G85" s="13">
        <v>46259</v>
      </c>
      <c r="H85" s="20">
        <v>46320</v>
      </c>
      <c r="I85" s="7">
        <v>70134900</v>
      </c>
      <c r="J85" s="7">
        <v>40356637</v>
      </c>
      <c r="K85" t="s">
        <v>101</v>
      </c>
      <c r="L85" s="17">
        <v>162.1925</v>
      </c>
      <c r="M85" s="5">
        <v>18</v>
      </c>
      <c r="N85" s="6">
        <f t="shared" si="9"/>
        <v>191.38714999999999</v>
      </c>
      <c r="O85" s="18">
        <v>635.92941176470583</v>
      </c>
      <c r="P85" s="7">
        <v>24</v>
      </c>
    </row>
    <row r="86" spans="1:16" x14ac:dyDescent="0.35">
      <c r="A86" s="5" t="str">
        <f t="shared" si="8"/>
        <v>IRA4279868940356633</v>
      </c>
      <c r="B86" s="11" t="s">
        <v>20</v>
      </c>
      <c r="C86" s="7" t="s">
        <v>44</v>
      </c>
      <c r="D86" s="7" t="s">
        <v>70</v>
      </c>
      <c r="E86" s="11" t="s">
        <v>20</v>
      </c>
      <c r="F86" s="11" t="s">
        <v>28</v>
      </c>
      <c r="G86" s="13">
        <v>46251</v>
      </c>
      <c r="H86" s="20">
        <v>46320</v>
      </c>
      <c r="I86" s="7">
        <v>70134900</v>
      </c>
      <c r="J86" s="7">
        <v>40356633</v>
      </c>
      <c r="K86" t="s">
        <v>92</v>
      </c>
      <c r="L86" s="17">
        <v>208.5</v>
      </c>
      <c r="M86" s="5">
        <v>18</v>
      </c>
      <c r="N86" s="6">
        <f t="shared" si="9"/>
        <v>246.03</v>
      </c>
      <c r="O86" s="18">
        <v>634.22360784313742</v>
      </c>
      <c r="P86" s="7">
        <v>32</v>
      </c>
    </row>
    <row r="87" spans="1:16" x14ac:dyDescent="0.35">
      <c r="A87" s="5" t="str">
        <f t="shared" ref="A87:A91" si="10">_xlfn.CONCAT(C87,J87)</f>
        <v>IRA4280056440356629</v>
      </c>
      <c r="B87" s="11" t="s">
        <v>19</v>
      </c>
      <c r="C87" s="7" t="s">
        <v>50</v>
      </c>
      <c r="D87" s="7" t="s">
        <v>88</v>
      </c>
      <c r="E87" s="11" t="s">
        <v>19</v>
      </c>
      <c r="F87" s="11" t="s">
        <v>27</v>
      </c>
      <c r="G87" s="13">
        <v>46251</v>
      </c>
      <c r="H87" s="20">
        <v>46320</v>
      </c>
      <c r="I87" s="7">
        <v>70134900</v>
      </c>
      <c r="J87" s="7">
        <v>40356629</v>
      </c>
      <c r="K87" t="s">
        <v>110</v>
      </c>
      <c r="L87" s="17">
        <v>182.5</v>
      </c>
      <c r="M87" s="5">
        <v>18</v>
      </c>
      <c r="N87" s="6">
        <f t="shared" ref="N87:N91" si="11">L87*118%</f>
        <v>215.35</v>
      </c>
      <c r="O87" s="18">
        <v>504.44690196078432</v>
      </c>
      <c r="P87" s="7">
        <v>24</v>
      </c>
    </row>
    <row r="88" spans="1:16" x14ac:dyDescent="0.35">
      <c r="A88" s="5" t="str">
        <f t="shared" si="10"/>
        <v>IRA4280056440356640</v>
      </c>
      <c r="B88" s="11" t="s">
        <v>19</v>
      </c>
      <c r="C88" s="7" t="s">
        <v>50</v>
      </c>
      <c r="D88" s="7" t="s">
        <v>69</v>
      </c>
      <c r="E88" s="11" t="s">
        <v>19</v>
      </c>
      <c r="F88" s="11" t="s">
        <v>27</v>
      </c>
      <c r="G88" s="13">
        <v>46251</v>
      </c>
      <c r="H88" s="20">
        <v>46320</v>
      </c>
      <c r="I88" s="7">
        <v>70134900</v>
      </c>
      <c r="J88" s="7">
        <v>40356640</v>
      </c>
      <c r="K88" t="s">
        <v>91</v>
      </c>
      <c r="L88" s="17">
        <v>257.25</v>
      </c>
      <c r="M88" s="5">
        <v>18</v>
      </c>
      <c r="N88" s="6">
        <f t="shared" si="11"/>
        <v>303.55500000000001</v>
      </c>
      <c r="O88" s="18">
        <v>525</v>
      </c>
      <c r="P88" s="7">
        <v>26</v>
      </c>
    </row>
    <row r="89" spans="1:16" x14ac:dyDescent="0.35">
      <c r="A89" s="5" t="str">
        <f t="shared" si="10"/>
        <v>IRA4279762340356637</v>
      </c>
      <c r="B89" s="11" t="s">
        <v>23</v>
      </c>
      <c r="C89" s="7" t="s">
        <v>49</v>
      </c>
      <c r="D89" s="7" t="s">
        <v>79</v>
      </c>
      <c r="E89" s="11" t="s">
        <v>23</v>
      </c>
      <c r="F89" s="11" t="s">
        <v>66</v>
      </c>
      <c r="G89" s="13">
        <v>46251</v>
      </c>
      <c r="H89" s="20">
        <v>46320</v>
      </c>
      <c r="I89" s="7">
        <v>70134900</v>
      </c>
      <c r="J89" s="7">
        <v>40356637</v>
      </c>
      <c r="K89" t="s">
        <v>101</v>
      </c>
      <c r="L89" s="17">
        <v>162.1925</v>
      </c>
      <c r="M89" s="5">
        <v>18</v>
      </c>
      <c r="N89" s="6">
        <f t="shared" si="11"/>
        <v>191.38714999999999</v>
      </c>
      <c r="O89" s="18">
        <v>635.92941176470583</v>
      </c>
      <c r="P89" s="7">
        <v>33</v>
      </c>
    </row>
    <row r="90" spans="1:16" x14ac:dyDescent="0.35">
      <c r="A90" s="5" t="str">
        <f t="shared" si="10"/>
        <v>IRM4328600040356629</v>
      </c>
      <c r="B90" s="11" t="s">
        <v>15</v>
      </c>
      <c r="C90" s="7" t="s">
        <v>35</v>
      </c>
      <c r="D90" s="7" t="s">
        <v>88</v>
      </c>
      <c r="E90" s="11" t="s">
        <v>15</v>
      </c>
      <c r="F90" s="11" t="s">
        <v>16</v>
      </c>
      <c r="G90" s="13">
        <v>46259</v>
      </c>
      <c r="H90" s="20">
        <v>46320</v>
      </c>
      <c r="I90" s="7">
        <v>70134900</v>
      </c>
      <c r="J90" s="7">
        <v>40356629</v>
      </c>
      <c r="K90" t="s">
        <v>110</v>
      </c>
      <c r="L90" s="17">
        <v>182.5</v>
      </c>
      <c r="M90" s="5">
        <v>18</v>
      </c>
      <c r="N90" s="6">
        <f t="shared" si="11"/>
        <v>215.35</v>
      </c>
      <c r="O90" s="18">
        <v>504.44690196078432</v>
      </c>
      <c r="P90" s="7">
        <v>12</v>
      </c>
    </row>
    <row r="91" spans="1:16" x14ac:dyDescent="0.35">
      <c r="A91" s="5" t="str">
        <f t="shared" si="10"/>
        <v>IRA4279685840356633</v>
      </c>
      <c r="B91" s="11" t="s">
        <v>15</v>
      </c>
      <c r="C91" s="7" t="s">
        <v>37</v>
      </c>
      <c r="D91" s="7" t="s">
        <v>70</v>
      </c>
      <c r="E91" s="11" t="s">
        <v>15</v>
      </c>
      <c r="F91" s="11" t="s">
        <v>16</v>
      </c>
      <c r="G91" s="13">
        <v>46251</v>
      </c>
      <c r="H91" s="20">
        <v>46320</v>
      </c>
      <c r="I91" s="7">
        <v>70134900</v>
      </c>
      <c r="J91" s="7">
        <v>40356633</v>
      </c>
      <c r="K91" t="s">
        <v>92</v>
      </c>
      <c r="L91" s="17">
        <v>208.5</v>
      </c>
      <c r="M91" s="5">
        <v>18</v>
      </c>
      <c r="N91" s="6">
        <f t="shared" si="11"/>
        <v>246.03</v>
      </c>
      <c r="O91" s="18">
        <v>634.22360784313742</v>
      </c>
      <c r="P91" s="7">
        <v>8</v>
      </c>
    </row>
    <row r="92" spans="1:16" x14ac:dyDescent="0.35">
      <c r="A92" s="5" t="str">
        <f t="shared" ref="A92:A98" si="12">_xlfn.CONCAT(C92,J92)</f>
        <v>IRA4279916240356626</v>
      </c>
      <c r="B92" s="11" t="s">
        <v>17</v>
      </c>
      <c r="C92" s="7" t="s">
        <v>51</v>
      </c>
      <c r="D92" s="7" t="s">
        <v>75</v>
      </c>
      <c r="E92" s="11" t="s">
        <v>17</v>
      </c>
      <c r="F92" s="11" t="s">
        <v>25</v>
      </c>
      <c r="G92" s="13">
        <v>46251</v>
      </c>
      <c r="H92" s="20">
        <v>46320</v>
      </c>
      <c r="I92" s="7">
        <v>70134900</v>
      </c>
      <c r="J92" s="7">
        <v>40356626</v>
      </c>
      <c r="K92" t="s">
        <v>97</v>
      </c>
      <c r="L92" s="17">
        <v>235.8</v>
      </c>
      <c r="M92" s="5">
        <v>18</v>
      </c>
      <c r="N92" s="6">
        <f t="shared" ref="N92:N98" si="13">L92*118%</f>
        <v>278.24399999999997</v>
      </c>
      <c r="O92" s="18">
        <v>669.78854901960779</v>
      </c>
      <c r="P92" s="7">
        <v>16</v>
      </c>
    </row>
    <row r="93" spans="1:16" x14ac:dyDescent="0.35">
      <c r="A93" s="5" t="str">
        <f t="shared" si="12"/>
        <v>IRA4279685840356629</v>
      </c>
      <c r="B93" s="11" t="s">
        <v>15</v>
      </c>
      <c r="C93" s="7" t="s">
        <v>37</v>
      </c>
      <c r="D93" s="7" t="s">
        <v>88</v>
      </c>
      <c r="E93" s="11" t="s">
        <v>15</v>
      </c>
      <c r="F93" s="11" t="s">
        <v>16</v>
      </c>
      <c r="G93" s="13">
        <v>46251</v>
      </c>
      <c r="H93" s="20">
        <v>46320</v>
      </c>
      <c r="I93" s="7">
        <v>70134900</v>
      </c>
      <c r="J93" s="7">
        <v>40356629</v>
      </c>
      <c r="K93" t="s">
        <v>110</v>
      </c>
      <c r="L93" s="17">
        <v>182.5</v>
      </c>
      <c r="M93" s="5">
        <v>18</v>
      </c>
      <c r="N93" s="6">
        <f t="shared" si="13"/>
        <v>215.35</v>
      </c>
      <c r="O93" s="18">
        <v>504.44690196078432</v>
      </c>
      <c r="P93" s="7">
        <v>24</v>
      </c>
    </row>
    <row r="94" spans="1:16" x14ac:dyDescent="0.35">
      <c r="A94" s="5" t="str">
        <f t="shared" si="12"/>
        <v>IRA4279685840207577</v>
      </c>
      <c r="B94" s="11" t="s">
        <v>15</v>
      </c>
      <c r="C94" s="7" t="s">
        <v>37</v>
      </c>
      <c r="D94" s="7" t="s">
        <v>73</v>
      </c>
      <c r="E94" s="11" t="s">
        <v>15</v>
      </c>
      <c r="F94" s="11" t="s">
        <v>16</v>
      </c>
      <c r="G94" s="13">
        <v>46251</v>
      </c>
      <c r="H94" s="20">
        <v>46320</v>
      </c>
      <c r="I94" s="7">
        <v>70134900</v>
      </c>
      <c r="J94" s="7">
        <v>40207577</v>
      </c>
      <c r="K94" t="s">
        <v>95</v>
      </c>
      <c r="L94" s="17">
        <v>112</v>
      </c>
      <c r="M94" s="5">
        <v>18</v>
      </c>
      <c r="N94" s="6">
        <f t="shared" si="13"/>
        <v>132.16</v>
      </c>
      <c r="O94" s="18">
        <v>372.1364705882354</v>
      </c>
      <c r="P94" s="7">
        <v>18</v>
      </c>
    </row>
    <row r="95" spans="1:16" x14ac:dyDescent="0.35">
      <c r="A95" s="5" t="str">
        <f t="shared" si="12"/>
        <v>IRM4328616240356629</v>
      </c>
      <c r="B95" s="11" t="s">
        <v>19</v>
      </c>
      <c r="C95" s="7" t="s">
        <v>61</v>
      </c>
      <c r="D95" s="7" t="s">
        <v>88</v>
      </c>
      <c r="E95" s="11" t="s">
        <v>19</v>
      </c>
      <c r="F95" s="11" t="s">
        <v>27</v>
      </c>
      <c r="G95" s="13">
        <v>46259</v>
      </c>
      <c r="H95" s="20">
        <v>46320</v>
      </c>
      <c r="I95" s="7">
        <v>70134900</v>
      </c>
      <c r="J95" s="7">
        <v>40356629</v>
      </c>
      <c r="K95" t="s">
        <v>110</v>
      </c>
      <c r="L95" s="17">
        <v>182.5</v>
      </c>
      <c r="M95" s="5">
        <v>18</v>
      </c>
      <c r="N95" s="6">
        <f t="shared" si="13"/>
        <v>215.35</v>
      </c>
      <c r="O95" s="18">
        <v>504.44690196078432</v>
      </c>
      <c r="P95" s="7">
        <v>24</v>
      </c>
    </row>
    <row r="96" spans="1:16" x14ac:dyDescent="0.35">
      <c r="A96" s="5" t="str">
        <f t="shared" si="12"/>
        <v>IRA4202276740291322</v>
      </c>
      <c r="B96" s="11" t="s">
        <v>24</v>
      </c>
      <c r="C96" s="7" t="s">
        <v>40</v>
      </c>
      <c r="D96" s="7" t="s">
        <v>78</v>
      </c>
      <c r="E96" s="11" t="s">
        <v>24</v>
      </c>
      <c r="F96" s="11" t="s">
        <v>65</v>
      </c>
      <c r="G96" s="13">
        <v>46237</v>
      </c>
      <c r="H96" s="20">
        <v>46320</v>
      </c>
      <c r="I96" s="7">
        <v>70133700</v>
      </c>
      <c r="J96" s="7">
        <v>40291322</v>
      </c>
      <c r="K96" t="s">
        <v>100</v>
      </c>
      <c r="L96" s="17">
        <v>74.150000000000006</v>
      </c>
      <c r="M96" s="5">
        <v>18</v>
      </c>
      <c r="N96" s="6">
        <f t="shared" si="13"/>
        <v>87.497</v>
      </c>
      <c r="O96" s="18">
        <v>210.54901960784312</v>
      </c>
      <c r="P96" s="7">
        <v>20</v>
      </c>
    </row>
    <row r="97" spans="1:16" x14ac:dyDescent="0.35">
      <c r="A97" s="5" t="str">
        <f t="shared" si="12"/>
        <v>IRA4279462140356627</v>
      </c>
      <c r="B97" s="11" t="s">
        <v>18</v>
      </c>
      <c r="C97" s="7" t="s">
        <v>45</v>
      </c>
      <c r="D97" s="7" t="s">
        <v>67</v>
      </c>
      <c r="E97" s="11" t="s">
        <v>18</v>
      </c>
      <c r="F97" s="11" t="s">
        <v>26</v>
      </c>
      <c r="G97" s="13">
        <v>46251</v>
      </c>
      <c r="H97" s="20">
        <v>46320</v>
      </c>
      <c r="I97" s="7">
        <v>70134900</v>
      </c>
      <c r="J97" s="7">
        <v>40356627</v>
      </c>
      <c r="K97" t="s">
        <v>89</v>
      </c>
      <c r="L97" s="17">
        <v>185</v>
      </c>
      <c r="M97" s="5">
        <v>18</v>
      </c>
      <c r="N97" s="6">
        <f t="shared" si="13"/>
        <v>218.29999999999998</v>
      </c>
      <c r="O97" s="18">
        <v>542.60266666666666</v>
      </c>
      <c r="P97" s="7">
        <v>40</v>
      </c>
    </row>
    <row r="98" spans="1:16" x14ac:dyDescent="0.35">
      <c r="A98" s="5" t="str">
        <f t="shared" si="12"/>
        <v>IRM4328621940183555</v>
      </c>
      <c r="B98" s="11" t="s">
        <v>21</v>
      </c>
      <c r="C98" s="7" t="s">
        <v>59</v>
      </c>
      <c r="D98" s="7" t="s">
        <v>87</v>
      </c>
      <c r="E98" s="11" t="s">
        <v>21</v>
      </c>
      <c r="F98" s="11" t="s">
        <v>30</v>
      </c>
      <c r="G98" s="13">
        <v>46259</v>
      </c>
      <c r="H98" s="20">
        <v>46320</v>
      </c>
      <c r="I98" s="7">
        <v>70134900</v>
      </c>
      <c r="J98" s="7">
        <v>40183555</v>
      </c>
      <c r="K98" t="s">
        <v>109</v>
      </c>
      <c r="L98" s="17">
        <v>255</v>
      </c>
      <c r="M98" s="5">
        <v>18</v>
      </c>
      <c r="N98" s="6">
        <f t="shared" si="13"/>
        <v>300.89999999999998</v>
      </c>
      <c r="O98" s="18">
        <v>683.03529411764714</v>
      </c>
      <c r="P98" s="7">
        <v>12</v>
      </c>
    </row>
    <row r="99" spans="1:16" x14ac:dyDescent="0.35">
      <c r="A99" s="5" t="str">
        <f t="shared" ref="A99:A108" si="14">_xlfn.CONCAT(C99,J99)</f>
        <v>IRA4201943540356640</v>
      </c>
      <c r="B99" s="11" t="s">
        <v>23</v>
      </c>
      <c r="C99" s="7" t="s">
        <v>43</v>
      </c>
      <c r="D99" s="7" t="s">
        <v>69</v>
      </c>
      <c r="E99" s="11" t="s">
        <v>23</v>
      </c>
      <c r="F99" s="11" t="s">
        <v>66</v>
      </c>
      <c r="G99" s="13">
        <v>46237</v>
      </c>
      <c r="H99" s="20">
        <v>46320</v>
      </c>
      <c r="I99" s="7">
        <v>70134900</v>
      </c>
      <c r="J99" s="7">
        <v>40356640</v>
      </c>
      <c r="K99" t="s">
        <v>91</v>
      </c>
      <c r="L99" s="17">
        <v>257.25</v>
      </c>
      <c r="M99" s="5">
        <v>18</v>
      </c>
      <c r="N99" s="6">
        <f t="shared" ref="N99:N108" si="15">L99*118%</f>
        <v>303.55500000000001</v>
      </c>
      <c r="O99" s="18">
        <v>525</v>
      </c>
      <c r="P99" s="7">
        <v>18</v>
      </c>
    </row>
    <row r="100" spans="1:16" x14ac:dyDescent="0.35">
      <c r="A100" s="5" t="str">
        <f t="shared" si="14"/>
        <v>IRA4280407440183555</v>
      </c>
      <c r="B100" s="11" t="s">
        <v>22</v>
      </c>
      <c r="C100" s="7" t="s">
        <v>52</v>
      </c>
      <c r="D100" s="7" t="s">
        <v>87</v>
      </c>
      <c r="E100" s="11" t="s">
        <v>22</v>
      </c>
      <c r="F100" s="11" t="s">
        <v>31</v>
      </c>
      <c r="G100" s="13">
        <v>46251</v>
      </c>
      <c r="H100" s="20">
        <v>46320</v>
      </c>
      <c r="I100" s="7">
        <v>70134900</v>
      </c>
      <c r="J100" s="7">
        <v>40183555</v>
      </c>
      <c r="K100" t="s">
        <v>109</v>
      </c>
      <c r="L100" s="17">
        <v>255</v>
      </c>
      <c r="M100" s="5">
        <v>18</v>
      </c>
      <c r="N100" s="6">
        <f t="shared" si="15"/>
        <v>300.89999999999998</v>
      </c>
      <c r="O100" s="18">
        <v>683.03529411764714</v>
      </c>
      <c r="P100" s="7">
        <v>96</v>
      </c>
    </row>
    <row r="101" spans="1:16" x14ac:dyDescent="0.35">
      <c r="A101" s="5" t="str">
        <f t="shared" si="14"/>
        <v>IRA4279462140356642</v>
      </c>
      <c r="B101" s="11" t="s">
        <v>18</v>
      </c>
      <c r="C101" s="7" t="s">
        <v>45</v>
      </c>
      <c r="D101" s="7" t="s">
        <v>85</v>
      </c>
      <c r="E101" s="11" t="s">
        <v>18</v>
      </c>
      <c r="F101" s="11" t="s">
        <v>26</v>
      </c>
      <c r="G101" s="13">
        <v>46251</v>
      </c>
      <c r="H101" s="20">
        <v>46320</v>
      </c>
      <c r="I101" s="7">
        <v>70134900</v>
      </c>
      <c r="J101" s="7">
        <v>40356642</v>
      </c>
      <c r="K101" t="s">
        <v>107</v>
      </c>
      <c r="L101" s="17">
        <v>133</v>
      </c>
      <c r="M101" s="5">
        <v>18</v>
      </c>
      <c r="N101" s="6">
        <f t="shared" si="15"/>
        <v>156.94</v>
      </c>
      <c r="O101" s="18">
        <v>396.68862745098039</v>
      </c>
      <c r="P101" s="7">
        <v>40</v>
      </c>
    </row>
    <row r="102" spans="1:16" x14ac:dyDescent="0.35">
      <c r="A102" s="5" t="str">
        <f t="shared" si="14"/>
        <v>IRA4280185340291322</v>
      </c>
      <c r="B102" s="11" t="s">
        <v>24</v>
      </c>
      <c r="C102" s="7" t="s">
        <v>39</v>
      </c>
      <c r="D102" s="7" t="s">
        <v>78</v>
      </c>
      <c r="E102" s="11" t="s">
        <v>24</v>
      </c>
      <c r="F102" s="11" t="s">
        <v>65</v>
      </c>
      <c r="G102" s="13">
        <v>46251</v>
      </c>
      <c r="H102" s="20">
        <v>46320</v>
      </c>
      <c r="I102" s="7">
        <v>70133700</v>
      </c>
      <c r="J102" s="7">
        <v>40291322</v>
      </c>
      <c r="K102" t="s">
        <v>100</v>
      </c>
      <c r="L102" s="17">
        <v>74.150000000000006</v>
      </c>
      <c r="M102" s="5">
        <v>18</v>
      </c>
      <c r="N102" s="6">
        <f t="shared" si="15"/>
        <v>87.497</v>
      </c>
      <c r="O102" s="18">
        <v>210.54901960784312</v>
      </c>
      <c r="P102" s="7">
        <v>40</v>
      </c>
    </row>
    <row r="103" spans="1:16" x14ac:dyDescent="0.35">
      <c r="A103" s="5" t="str">
        <f t="shared" si="14"/>
        <v>IRA4201966240356629</v>
      </c>
      <c r="B103" s="11" t="s">
        <v>20</v>
      </c>
      <c r="C103" s="7" t="s">
        <v>32</v>
      </c>
      <c r="D103" s="7" t="s">
        <v>88</v>
      </c>
      <c r="E103" s="11" t="s">
        <v>20</v>
      </c>
      <c r="F103" s="11" t="s">
        <v>28</v>
      </c>
      <c r="G103" s="13">
        <v>46237</v>
      </c>
      <c r="H103" s="20">
        <v>46320</v>
      </c>
      <c r="I103" s="7">
        <v>70134900</v>
      </c>
      <c r="J103" s="7">
        <v>40356629</v>
      </c>
      <c r="K103" t="s">
        <v>110</v>
      </c>
      <c r="L103" s="17">
        <v>182.5</v>
      </c>
      <c r="M103" s="5">
        <v>18</v>
      </c>
      <c r="N103" s="6">
        <f t="shared" si="15"/>
        <v>215.35</v>
      </c>
      <c r="O103" s="18">
        <v>504.44690196078432</v>
      </c>
      <c r="P103" s="7">
        <v>60</v>
      </c>
    </row>
    <row r="104" spans="1:16" x14ac:dyDescent="0.35">
      <c r="A104" s="5" t="str">
        <f t="shared" si="14"/>
        <v>IRA4201544140183558</v>
      </c>
      <c r="B104" s="11" t="s">
        <v>18</v>
      </c>
      <c r="C104" s="7" t="s">
        <v>54</v>
      </c>
      <c r="D104" s="7" t="s">
        <v>77</v>
      </c>
      <c r="E104" s="11" t="s">
        <v>18</v>
      </c>
      <c r="F104" s="11" t="s">
        <v>26</v>
      </c>
      <c r="G104" s="13">
        <v>46237</v>
      </c>
      <c r="H104" s="20">
        <v>46320</v>
      </c>
      <c r="I104" s="7">
        <v>70134900</v>
      </c>
      <c r="J104" s="7">
        <v>40183558</v>
      </c>
      <c r="K104" t="s">
        <v>99</v>
      </c>
      <c r="L104" s="17">
        <v>255</v>
      </c>
      <c r="M104" s="5">
        <v>18</v>
      </c>
      <c r="N104" s="6">
        <f t="shared" si="15"/>
        <v>300.89999999999998</v>
      </c>
      <c r="O104" s="18">
        <v>683.03529411764714</v>
      </c>
      <c r="P104" s="7">
        <v>12</v>
      </c>
    </row>
    <row r="105" spans="1:16" x14ac:dyDescent="0.35">
      <c r="A105" s="5" t="str">
        <f t="shared" si="14"/>
        <v>IRM4328600540356643</v>
      </c>
      <c r="B105" s="11" t="s">
        <v>23</v>
      </c>
      <c r="C105" s="7" t="s">
        <v>47</v>
      </c>
      <c r="D105" s="7" t="s">
        <v>81</v>
      </c>
      <c r="E105" s="11" t="s">
        <v>23</v>
      </c>
      <c r="F105" s="11" t="s">
        <v>66</v>
      </c>
      <c r="G105" s="13">
        <v>46259</v>
      </c>
      <c r="H105" s="20">
        <v>46320</v>
      </c>
      <c r="I105" s="7">
        <v>70134900</v>
      </c>
      <c r="J105" s="7">
        <v>40356643</v>
      </c>
      <c r="K105" t="s">
        <v>103</v>
      </c>
      <c r="L105" s="17">
        <v>105.7</v>
      </c>
      <c r="M105" s="5">
        <v>18</v>
      </c>
      <c r="N105" s="6">
        <f t="shared" si="15"/>
        <v>124.726</v>
      </c>
      <c r="O105" s="18">
        <v>269.43137254901961</v>
      </c>
      <c r="P105" s="7">
        <v>24</v>
      </c>
    </row>
    <row r="106" spans="1:16" x14ac:dyDescent="0.35">
      <c r="A106" s="5" t="str">
        <f t="shared" si="14"/>
        <v>IRA4202133840240201</v>
      </c>
      <c r="B106" s="11" t="s">
        <v>19</v>
      </c>
      <c r="C106" s="7" t="s">
        <v>34</v>
      </c>
      <c r="D106" s="7" t="s">
        <v>76</v>
      </c>
      <c r="E106" s="11" t="s">
        <v>19</v>
      </c>
      <c r="F106" s="11" t="s">
        <v>27</v>
      </c>
      <c r="G106" s="13">
        <v>46237</v>
      </c>
      <c r="H106" s="20">
        <v>46320</v>
      </c>
      <c r="I106" s="7">
        <v>70134900</v>
      </c>
      <c r="J106" s="7">
        <v>40240201</v>
      </c>
      <c r="K106" t="s">
        <v>98</v>
      </c>
      <c r="L106" s="17">
        <v>114.75</v>
      </c>
      <c r="M106" s="5">
        <v>18</v>
      </c>
      <c r="N106" s="6">
        <f t="shared" si="15"/>
        <v>135.405</v>
      </c>
      <c r="O106" s="18">
        <v>225</v>
      </c>
      <c r="P106" s="7">
        <v>50</v>
      </c>
    </row>
    <row r="107" spans="1:16" x14ac:dyDescent="0.35">
      <c r="A107" s="5" t="str">
        <f t="shared" si="14"/>
        <v>IRA4201544140291322</v>
      </c>
      <c r="B107" s="11" t="s">
        <v>18</v>
      </c>
      <c r="C107" s="7" t="s">
        <v>54</v>
      </c>
      <c r="D107" s="7" t="s">
        <v>78</v>
      </c>
      <c r="E107" s="11" t="s">
        <v>18</v>
      </c>
      <c r="F107" s="11" t="s">
        <v>26</v>
      </c>
      <c r="G107" s="13">
        <v>46237</v>
      </c>
      <c r="H107" s="20">
        <v>46320</v>
      </c>
      <c r="I107" s="7">
        <v>70133700</v>
      </c>
      <c r="J107" s="7">
        <v>40291322</v>
      </c>
      <c r="K107" t="s">
        <v>100</v>
      </c>
      <c r="L107" s="17">
        <v>74.150000000000006</v>
      </c>
      <c r="M107" s="5">
        <v>18</v>
      </c>
      <c r="N107" s="6">
        <f t="shared" si="15"/>
        <v>87.497</v>
      </c>
      <c r="O107" s="18">
        <v>210.54901960784312</v>
      </c>
      <c r="P107" s="7">
        <v>22</v>
      </c>
    </row>
    <row r="108" spans="1:16" x14ac:dyDescent="0.35">
      <c r="A108" s="5" t="str">
        <f t="shared" si="14"/>
        <v>IRA4279462140183558</v>
      </c>
      <c r="B108" s="11" t="s">
        <v>18</v>
      </c>
      <c r="C108" s="7" t="s">
        <v>45</v>
      </c>
      <c r="D108" s="7" t="s">
        <v>77</v>
      </c>
      <c r="E108" s="11" t="s">
        <v>18</v>
      </c>
      <c r="F108" s="11" t="s">
        <v>26</v>
      </c>
      <c r="G108" s="13">
        <v>46251</v>
      </c>
      <c r="H108" s="20">
        <v>46320</v>
      </c>
      <c r="I108" s="7">
        <v>70134900</v>
      </c>
      <c r="J108" s="7">
        <v>40183558</v>
      </c>
      <c r="K108" t="s">
        <v>99</v>
      </c>
      <c r="L108" s="17">
        <v>255</v>
      </c>
      <c r="M108" s="5">
        <v>18</v>
      </c>
      <c r="N108" s="6">
        <f t="shared" si="15"/>
        <v>300.89999999999998</v>
      </c>
      <c r="O108" s="18">
        <v>683.03529411764714</v>
      </c>
      <c r="P108" s="7">
        <v>84</v>
      </c>
    </row>
    <row r="109" spans="1:16" x14ac:dyDescent="0.35">
      <c r="A109" s="5" t="str">
        <f t="shared" ref="A109:A116" si="16">_xlfn.CONCAT(C109,J109)</f>
        <v>IRA4279868940356629</v>
      </c>
      <c r="B109" s="11" t="s">
        <v>20</v>
      </c>
      <c r="C109" s="7" t="s">
        <v>44</v>
      </c>
      <c r="D109" s="7" t="s">
        <v>88</v>
      </c>
      <c r="E109" s="11" t="s">
        <v>20</v>
      </c>
      <c r="F109" s="11" t="s">
        <v>28</v>
      </c>
      <c r="G109" s="13">
        <v>46251</v>
      </c>
      <c r="H109" s="20">
        <v>46320</v>
      </c>
      <c r="I109" s="7">
        <v>70134900</v>
      </c>
      <c r="J109" s="7">
        <v>40356629</v>
      </c>
      <c r="K109" t="s">
        <v>110</v>
      </c>
      <c r="L109" s="17">
        <v>182.5</v>
      </c>
      <c r="M109" s="5">
        <v>18</v>
      </c>
      <c r="N109" s="6">
        <f t="shared" ref="N109:N116" si="17">L109*118%</f>
        <v>215.35</v>
      </c>
      <c r="O109" s="18">
        <v>504.44690196078432</v>
      </c>
      <c r="P109" s="7">
        <v>24</v>
      </c>
    </row>
    <row r="110" spans="1:16" x14ac:dyDescent="0.35">
      <c r="A110" s="5" t="str">
        <f t="shared" si="16"/>
        <v>IRA4279462140291322</v>
      </c>
      <c r="B110" s="11" t="s">
        <v>18</v>
      </c>
      <c r="C110" s="7" t="s">
        <v>45</v>
      </c>
      <c r="D110" s="7" t="s">
        <v>78</v>
      </c>
      <c r="E110" s="11" t="s">
        <v>18</v>
      </c>
      <c r="F110" s="11" t="s">
        <v>26</v>
      </c>
      <c r="G110" s="13">
        <v>46251</v>
      </c>
      <c r="H110" s="20">
        <v>46320</v>
      </c>
      <c r="I110" s="7">
        <v>70133700</v>
      </c>
      <c r="J110" s="7">
        <v>40291322</v>
      </c>
      <c r="K110" t="s">
        <v>100</v>
      </c>
      <c r="L110" s="17">
        <v>74.150000000000006</v>
      </c>
      <c r="M110" s="5">
        <v>18</v>
      </c>
      <c r="N110" s="6">
        <f t="shared" si="17"/>
        <v>87.497</v>
      </c>
      <c r="O110" s="18">
        <v>210.54901960784312</v>
      </c>
      <c r="P110" s="7">
        <v>20</v>
      </c>
    </row>
    <row r="111" spans="1:16" x14ac:dyDescent="0.35">
      <c r="A111" s="5" t="str">
        <f t="shared" si="16"/>
        <v>IRA4279491640183555</v>
      </c>
      <c r="B111" s="11" t="s">
        <v>21</v>
      </c>
      <c r="C111" s="7" t="s">
        <v>33</v>
      </c>
      <c r="D111" s="7" t="s">
        <v>87</v>
      </c>
      <c r="E111" s="11" t="s">
        <v>21</v>
      </c>
      <c r="F111" s="11" t="s">
        <v>30</v>
      </c>
      <c r="G111" s="13">
        <v>46251</v>
      </c>
      <c r="H111" s="20">
        <v>46320</v>
      </c>
      <c r="I111" s="7">
        <v>70134900</v>
      </c>
      <c r="J111" s="7">
        <v>40183555</v>
      </c>
      <c r="K111" t="s">
        <v>109</v>
      </c>
      <c r="L111" s="17">
        <v>255</v>
      </c>
      <c r="M111" s="5">
        <v>18</v>
      </c>
      <c r="N111" s="6">
        <f t="shared" si="17"/>
        <v>300.89999999999998</v>
      </c>
      <c r="O111" s="18">
        <v>683.03529411764714</v>
      </c>
      <c r="P111" s="7">
        <v>36</v>
      </c>
    </row>
    <row r="112" spans="1:16" x14ac:dyDescent="0.35">
      <c r="A112" s="5" t="str">
        <f t="shared" si="16"/>
        <v>IRA4280056440240201</v>
      </c>
      <c r="B112" s="11" t="s">
        <v>19</v>
      </c>
      <c r="C112" s="7" t="s">
        <v>50</v>
      </c>
      <c r="D112" s="7" t="s">
        <v>76</v>
      </c>
      <c r="E112" s="11" t="s">
        <v>19</v>
      </c>
      <c r="F112" s="11" t="s">
        <v>27</v>
      </c>
      <c r="G112" s="13">
        <v>46251</v>
      </c>
      <c r="H112" s="20">
        <v>46320</v>
      </c>
      <c r="I112" s="7">
        <v>70134900</v>
      </c>
      <c r="J112" s="7">
        <v>40240201</v>
      </c>
      <c r="K112" t="s">
        <v>98</v>
      </c>
      <c r="L112" s="17">
        <v>114.75</v>
      </c>
      <c r="M112" s="5">
        <v>18</v>
      </c>
      <c r="N112" s="6">
        <f t="shared" si="17"/>
        <v>135.405</v>
      </c>
      <c r="O112" s="18">
        <v>225</v>
      </c>
      <c r="P112" s="7">
        <v>70</v>
      </c>
    </row>
    <row r="113" spans="1:16" x14ac:dyDescent="0.35">
      <c r="A113" s="5" t="str">
        <f t="shared" si="16"/>
        <v>IRA4280056440356632</v>
      </c>
      <c r="B113" s="11" t="s">
        <v>19</v>
      </c>
      <c r="C113" s="7" t="s">
        <v>50</v>
      </c>
      <c r="D113" s="7" t="s">
        <v>74</v>
      </c>
      <c r="E113" s="11" t="s">
        <v>19</v>
      </c>
      <c r="F113" s="11" t="s">
        <v>27</v>
      </c>
      <c r="G113" s="13">
        <v>46251</v>
      </c>
      <c r="H113" s="20">
        <v>46320</v>
      </c>
      <c r="I113" s="7">
        <v>70134900</v>
      </c>
      <c r="J113" s="7">
        <v>40356632</v>
      </c>
      <c r="K113" t="s">
        <v>96</v>
      </c>
      <c r="L113" s="17">
        <v>200</v>
      </c>
      <c r="M113" s="5">
        <v>18</v>
      </c>
      <c r="N113" s="6">
        <f t="shared" si="17"/>
        <v>236</v>
      </c>
      <c r="O113" s="18">
        <v>568.03984313725493</v>
      </c>
      <c r="P113" s="7">
        <v>104</v>
      </c>
    </row>
    <row r="114" spans="1:16" x14ac:dyDescent="0.35">
      <c r="A114" s="5" t="str">
        <f t="shared" si="16"/>
        <v>IRA4280056440356654</v>
      </c>
      <c r="B114" s="11" t="s">
        <v>19</v>
      </c>
      <c r="C114" s="7" t="s">
        <v>50</v>
      </c>
      <c r="D114" s="7" t="s">
        <v>72</v>
      </c>
      <c r="E114" s="11" t="s">
        <v>19</v>
      </c>
      <c r="F114" s="11" t="s">
        <v>27</v>
      </c>
      <c r="G114" s="13">
        <v>46251</v>
      </c>
      <c r="H114" s="20">
        <v>46320</v>
      </c>
      <c r="I114" s="7">
        <v>70134900</v>
      </c>
      <c r="J114" s="7">
        <v>40356654</v>
      </c>
      <c r="K114" t="s">
        <v>94</v>
      </c>
      <c r="L114" s="17">
        <v>194.57200000000003</v>
      </c>
      <c r="M114" s="5">
        <v>18</v>
      </c>
      <c r="N114" s="6">
        <f t="shared" si="17"/>
        <v>229.59496000000001</v>
      </c>
      <c r="O114" s="18">
        <v>495.96784313725499</v>
      </c>
      <c r="P114" s="7">
        <v>96</v>
      </c>
    </row>
    <row r="115" spans="1:16" x14ac:dyDescent="0.35">
      <c r="A115" s="5" t="str">
        <f t="shared" si="16"/>
        <v>IRM4328600540356633</v>
      </c>
      <c r="B115" s="11" t="s">
        <v>23</v>
      </c>
      <c r="C115" s="7" t="s">
        <v>47</v>
      </c>
      <c r="D115" s="7" t="s">
        <v>70</v>
      </c>
      <c r="E115" s="11" t="s">
        <v>23</v>
      </c>
      <c r="F115" s="11" t="s">
        <v>66</v>
      </c>
      <c r="G115" s="13">
        <v>46259</v>
      </c>
      <c r="H115" s="20">
        <v>46320</v>
      </c>
      <c r="I115" s="7">
        <v>70134900</v>
      </c>
      <c r="J115" s="7">
        <v>40356633</v>
      </c>
      <c r="K115" t="s">
        <v>92</v>
      </c>
      <c r="L115" s="17">
        <v>208.5</v>
      </c>
      <c r="M115" s="5">
        <v>18</v>
      </c>
      <c r="N115" s="6">
        <f t="shared" si="17"/>
        <v>246.03</v>
      </c>
      <c r="O115" s="18">
        <v>634.22360784313742</v>
      </c>
      <c r="P115" s="7">
        <v>16</v>
      </c>
    </row>
    <row r="116" spans="1:16" x14ac:dyDescent="0.35">
      <c r="A116" s="5" t="str">
        <f t="shared" si="16"/>
        <v>IRA4201943540356626</v>
      </c>
      <c r="B116" s="11" t="s">
        <v>23</v>
      </c>
      <c r="C116" s="7" t="s">
        <v>43</v>
      </c>
      <c r="D116" s="7" t="s">
        <v>75</v>
      </c>
      <c r="E116" s="11" t="s">
        <v>23</v>
      </c>
      <c r="F116" s="11" t="s">
        <v>66</v>
      </c>
      <c r="G116" s="13">
        <v>46237</v>
      </c>
      <c r="H116" s="20">
        <v>46320</v>
      </c>
      <c r="I116" s="7">
        <v>70134900</v>
      </c>
      <c r="J116" s="7">
        <v>40356626</v>
      </c>
      <c r="K116" t="s">
        <v>97</v>
      </c>
      <c r="L116" s="17">
        <v>235.8</v>
      </c>
      <c r="M116" s="5">
        <v>18</v>
      </c>
      <c r="N116" s="6">
        <f t="shared" si="17"/>
        <v>278.24399999999997</v>
      </c>
      <c r="O116" s="18">
        <v>669.78854901960779</v>
      </c>
      <c r="P116" s="7">
        <v>40</v>
      </c>
    </row>
    <row r="117" spans="1:16" x14ac:dyDescent="0.35">
      <c r="A117" s="5" t="str">
        <f t="shared" ref="A117:A130" si="18">_xlfn.CONCAT(C117,J117)</f>
        <v>IRA4279916240356632</v>
      </c>
      <c r="B117" s="11" t="s">
        <v>17</v>
      </c>
      <c r="C117" s="7" t="s">
        <v>51</v>
      </c>
      <c r="D117" s="7" t="s">
        <v>74</v>
      </c>
      <c r="E117" s="11" t="s">
        <v>17</v>
      </c>
      <c r="F117" s="11" t="s">
        <v>25</v>
      </c>
      <c r="G117" s="13">
        <v>46251</v>
      </c>
      <c r="H117" s="20">
        <v>46320</v>
      </c>
      <c r="I117" s="7">
        <v>70134900</v>
      </c>
      <c r="J117" s="7">
        <v>40356632</v>
      </c>
      <c r="K117" t="s">
        <v>96</v>
      </c>
      <c r="L117" s="17">
        <v>200</v>
      </c>
      <c r="M117" s="5">
        <v>18</v>
      </c>
      <c r="N117" s="6">
        <f t="shared" ref="N117:N130" si="19">L117*118%</f>
        <v>236</v>
      </c>
      <c r="O117" s="18">
        <v>568.03984313725493</v>
      </c>
      <c r="P117" s="7">
        <v>8</v>
      </c>
    </row>
    <row r="118" spans="1:16" x14ac:dyDescent="0.35">
      <c r="A118" s="5" t="str">
        <f t="shared" si="18"/>
        <v>IRA4202133840356640</v>
      </c>
      <c r="B118" s="11" t="s">
        <v>19</v>
      </c>
      <c r="C118" s="7" t="s">
        <v>34</v>
      </c>
      <c r="D118" s="7" t="s">
        <v>69</v>
      </c>
      <c r="E118" s="11" t="s">
        <v>19</v>
      </c>
      <c r="F118" s="11" t="s">
        <v>27</v>
      </c>
      <c r="G118" s="13">
        <v>46237</v>
      </c>
      <c r="H118" s="20">
        <v>46320</v>
      </c>
      <c r="I118" s="7">
        <v>70134900</v>
      </c>
      <c r="J118" s="7">
        <v>40356640</v>
      </c>
      <c r="K118" t="s">
        <v>91</v>
      </c>
      <c r="L118" s="17">
        <v>257.25</v>
      </c>
      <c r="M118" s="5">
        <v>18</v>
      </c>
      <c r="N118" s="6">
        <f t="shared" si="19"/>
        <v>303.55500000000001</v>
      </c>
      <c r="O118" s="18">
        <v>525</v>
      </c>
      <c r="P118" s="7">
        <v>18</v>
      </c>
    </row>
    <row r="119" spans="1:16" x14ac:dyDescent="0.35">
      <c r="A119" s="5" t="str">
        <f t="shared" si="18"/>
        <v>IRM4328570840356642</v>
      </c>
      <c r="B119" s="11" t="s">
        <v>18</v>
      </c>
      <c r="C119" s="7" t="s">
        <v>42</v>
      </c>
      <c r="D119" s="7" t="s">
        <v>85</v>
      </c>
      <c r="E119" s="11" t="s">
        <v>18</v>
      </c>
      <c r="F119" s="11" t="s">
        <v>26</v>
      </c>
      <c r="G119" s="13">
        <v>46259</v>
      </c>
      <c r="H119" s="20">
        <v>46320</v>
      </c>
      <c r="I119" s="7">
        <v>70134900</v>
      </c>
      <c r="J119" s="7">
        <v>40356642</v>
      </c>
      <c r="K119" t="s">
        <v>107</v>
      </c>
      <c r="L119" s="17">
        <v>133</v>
      </c>
      <c r="M119" s="5">
        <v>18</v>
      </c>
      <c r="N119" s="6">
        <f t="shared" si="19"/>
        <v>156.94</v>
      </c>
      <c r="O119" s="18">
        <v>396.68862745098039</v>
      </c>
      <c r="P119" s="7">
        <v>20</v>
      </c>
    </row>
    <row r="120" spans="1:16" x14ac:dyDescent="0.35">
      <c r="A120" s="5" t="str">
        <f t="shared" si="18"/>
        <v>IRA4279868940240201</v>
      </c>
      <c r="B120" s="11" t="s">
        <v>20</v>
      </c>
      <c r="C120" s="7" t="s">
        <v>44</v>
      </c>
      <c r="D120" s="7" t="s">
        <v>76</v>
      </c>
      <c r="E120" s="11" t="s">
        <v>20</v>
      </c>
      <c r="F120" s="11" t="s">
        <v>28</v>
      </c>
      <c r="G120" s="13">
        <v>46251</v>
      </c>
      <c r="H120" s="20">
        <v>46320</v>
      </c>
      <c r="I120" s="7">
        <v>70134900</v>
      </c>
      <c r="J120" s="7">
        <v>40240201</v>
      </c>
      <c r="K120" t="s">
        <v>98</v>
      </c>
      <c r="L120" s="17">
        <v>114.75</v>
      </c>
      <c r="M120" s="5">
        <v>18</v>
      </c>
      <c r="N120" s="6">
        <f t="shared" si="19"/>
        <v>135.405</v>
      </c>
      <c r="O120" s="18">
        <v>225</v>
      </c>
      <c r="P120" s="7">
        <v>20</v>
      </c>
    </row>
    <row r="121" spans="1:16" x14ac:dyDescent="0.35">
      <c r="A121" s="5" t="str">
        <f t="shared" si="18"/>
        <v>IRA4201966240240201</v>
      </c>
      <c r="B121" s="11" t="s">
        <v>20</v>
      </c>
      <c r="C121" s="7" t="s">
        <v>32</v>
      </c>
      <c r="D121" s="7" t="s">
        <v>76</v>
      </c>
      <c r="E121" s="11" t="s">
        <v>20</v>
      </c>
      <c r="F121" s="11" t="s">
        <v>28</v>
      </c>
      <c r="G121" s="13">
        <v>46237</v>
      </c>
      <c r="H121" s="20">
        <v>46320</v>
      </c>
      <c r="I121" s="7">
        <v>70134900</v>
      </c>
      <c r="J121" s="7">
        <v>40240201</v>
      </c>
      <c r="K121" t="s">
        <v>98</v>
      </c>
      <c r="L121" s="17">
        <v>114.75</v>
      </c>
      <c r="M121" s="5">
        <v>18</v>
      </c>
      <c r="N121" s="6">
        <f t="shared" si="19"/>
        <v>135.405</v>
      </c>
      <c r="O121" s="18">
        <v>225</v>
      </c>
      <c r="P121" s="7">
        <v>110</v>
      </c>
    </row>
    <row r="122" spans="1:16" x14ac:dyDescent="0.35">
      <c r="A122" s="5" t="str">
        <f t="shared" si="18"/>
        <v>IRA4201766740356640</v>
      </c>
      <c r="B122" s="11" t="s">
        <v>15</v>
      </c>
      <c r="C122" s="7" t="s">
        <v>48</v>
      </c>
      <c r="D122" s="7" t="s">
        <v>69</v>
      </c>
      <c r="E122" s="11" t="s">
        <v>15</v>
      </c>
      <c r="F122" s="11" t="s">
        <v>16</v>
      </c>
      <c r="G122" s="13">
        <v>46237</v>
      </c>
      <c r="H122" s="20">
        <v>46320</v>
      </c>
      <c r="I122" s="7">
        <v>70134900</v>
      </c>
      <c r="J122" s="7">
        <v>40356640</v>
      </c>
      <c r="K122" t="s">
        <v>91</v>
      </c>
      <c r="L122" s="17">
        <v>257.25</v>
      </c>
      <c r="M122" s="5">
        <v>18</v>
      </c>
      <c r="N122" s="6">
        <f t="shared" si="19"/>
        <v>303.55500000000001</v>
      </c>
      <c r="O122" s="18">
        <v>525</v>
      </c>
      <c r="P122" s="7">
        <v>18</v>
      </c>
    </row>
    <row r="123" spans="1:16" x14ac:dyDescent="0.35">
      <c r="A123" s="5" t="str">
        <f t="shared" si="18"/>
        <v>IRM4328564740356642</v>
      </c>
      <c r="B123" s="11" t="s">
        <v>17</v>
      </c>
      <c r="C123" s="7" t="s">
        <v>56</v>
      </c>
      <c r="D123" s="7" t="s">
        <v>85</v>
      </c>
      <c r="E123" s="11" t="s">
        <v>17</v>
      </c>
      <c r="F123" s="11" t="s">
        <v>25</v>
      </c>
      <c r="G123" s="13">
        <v>46259</v>
      </c>
      <c r="H123" s="20">
        <v>46320</v>
      </c>
      <c r="I123" s="7">
        <v>70134900</v>
      </c>
      <c r="J123" s="7">
        <v>40356642</v>
      </c>
      <c r="K123" t="s">
        <v>107</v>
      </c>
      <c r="L123" s="17">
        <v>133</v>
      </c>
      <c r="M123" s="5">
        <v>18</v>
      </c>
      <c r="N123" s="6">
        <f t="shared" si="19"/>
        <v>156.94</v>
      </c>
      <c r="O123" s="18">
        <v>396.68862745098039</v>
      </c>
      <c r="P123" s="7">
        <v>20</v>
      </c>
    </row>
    <row r="124" spans="1:16" x14ac:dyDescent="0.35">
      <c r="A124" s="5" t="str">
        <f t="shared" si="18"/>
        <v>IRA4279685840356640</v>
      </c>
      <c r="B124" s="11" t="s">
        <v>15</v>
      </c>
      <c r="C124" s="7" t="s">
        <v>37</v>
      </c>
      <c r="D124" s="7" t="s">
        <v>69</v>
      </c>
      <c r="E124" s="11" t="s">
        <v>15</v>
      </c>
      <c r="F124" s="11" t="s">
        <v>16</v>
      </c>
      <c r="G124" s="13">
        <v>46251</v>
      </c>
      <c r="H124" s="20">
        <v>46320</v>
      </c>
      <c r="I124" s="7">
        <v>70134900</v>
      </c>
      <c r="J124" s="7">
        <v>40356640</v>
      </c>
      <c r="K124" t="s">
        <v>91</v>
      </c>
      <c r="L124" s="17">
        <v>257.25</v>
      </c>
      <c r="M124" s="5">
        <v>18</v>
      </c>
      <c r="N124" s="6">
        <f t="shared" si="19"/>
        <v>303.55500000000001</v>
      </c>
      <c r="O124" s="18">
        <v>525</v>
      </c>
      <c r="P124" s="7">
        <v>36</v>
      </c>
    </row>
    <row r="125" spans="1:16" x14ac:dyDescent="0.35">
      <c r="A125" s="5" t="str">
        <f t="shared" si="18"/>
        <v>IRA4279462140356626</v>
      </c>
      <c r="B125" s="11" t="s">
        <v>18</v>
      </c>
      <c r="C125" s="7" t="s">
        <v>45</v>
      </c>
      <c r="D125" s="7" t="s">
        <v>75</v>
      </c>
      <c r="E125" s="11" t="s">
        <v>18</v>
      </c>
      <c r="F125" s="11" t="s">
        <v>26</v>
      </c>
      <c r="G125" s="13">
        <v>46251</v>
      </c>
      <c r="H125" s="20">
        <v>46320</v>
      </c>
      <c r="I125" s="7">
        <v>70134900</v>
      </c>
      <c r="J125" s="7">
        <v>40356626</v>
      </c>
      <c r="K125" t="s">
        <v>97</v>
      </c>
      <c r="L125" s="17">
        <v>235.8</v>
      </c>
      <c r="M125" s="5">
        <v>18</v>
      </c>
      <c r="N125" s="6">
        <f t="shared" si="19"/>
        <v>278.24399999999997</v>
      </c>
      <c r="O125" s="18">
        <v>669.78854901960779</v>
      </c>
      <c r="P125" s="7">
        <v>48</v>
      </c>
    </row>
    <row r="126" spans="1:16" x14ac:dyDescent="0.35">
      <c r="A126" s="5" t="str">
        <f t="shared" si="18"/>
        <v>IRA4279868940356654</v>
      </c>
      <c r="B126" s="11" t="s">
        <v>20</v>
      </c>
      <c r="C126" s="7" t="s">
        <v>44</v>
      </c>
      <c r="D126" s="7" t="s">
        <v>72</v>
      </c>
      <c r="E126" s="11" t="s">
        <v>20</v>
      </c>
      <c r="F126" s="11" t="s">
        <v>28</v>
      </c>
      <c r="G126" s="13">
        <v>46251</v>
      </c>
      <c r="H126" s="20">
        <v>46320</v>
      </c>
      <c r="I126" s="7">
        <v>70134900</v>
      </c>
      <c r="J126" s="7">
        <v>40356654</v>
      </c>
      <c r="K126" t="s">
        <v>94</v>
      </c>
      <c r="L126" s="17">
        <v>194.57200000000003</v>
      </c>
      <c r="M126" s="5">
        <v>18</v>
      </c>
      <c r="N126" s="6">
        <f t="shared" si="19"/>
        <v>229.59496000000001</v>
      </c>
      <c r="O126" s="18">
        <v>495.96784313725499</v>
      </c>
      <c r="P126" s="7">
        <v>36</v>
      </c>
    </row>
    <row r="127" spans="1:16" x14ac:dyDescent="0.35">
      <c r="A127" s="5" t="str">
        <f t="shared" si="18"/>
        <v>IRA4279462140183555</v>
      </c>
      <c r="B127" s="11" t="s">
        <v>18</v>
      </c>
      <c r="C127" s="7" t="s">
        <v>45</v>
      </c>
      <c r="D127" s="7" t="s">
        <v>87</v>
      </c>
      <c r="E127" s="11" t="s">
        <v>18</v>
      </c>
      <c r="F127" s="11" t="s">
        <v>26</v>
      </c>
      <c r="G127" s="13">
        <v>46251</v>
      </c>
      <c r="H127" s="20">
        <v>46320</v>
      </c>
      <c r="I127" s="7">
        <v>70134900</v>
      </c>
      <c r="J127" s="7">
        <v>40183555</v>
      </c>
      <c r="K127" t="s">
        <v>109</v>
      </c>
      <c r="L127" s="17">
        <v>255</v>
      </c>
      <c r="M127" s="5">
        <v>18</v>
      </c>
      <c r="N127" s="6">
        <f t="shared" si="19"/>
        <v>300.89999999999998</v>
      </c>
      <c r="O127" s="18">
        <v>683.03529411764714</v>
      </c>
      <c r="P127" s="7">
        <v>24</v>
      </c>
    </row>
    <row r="128" spans="1:16" x14ac:dyDescent="0.35">
      <c r="A128" s="5" t="str">
        <f t="shared" si="18"/>
        <v>IRA4202077240356633</v>
      </c>
      <c r="B128" s="11" t="s">
        <v>17</v>
      </c>
      <c r="C128" s="7" t="s">
        <v>57</v>
      </c>
      <c r="D128" s="7" t="s">
        <v>70</v>
      </c>
      <c r="E128" s="11" t="s">
        <v>17</v>
      </c>
      <c r="F128" s="11" t="s">
        <v>25</v>
      </c>
      <c r="G128" s="13">
        <v>46237</v>
      </c>
      <c r="H128" s="20">
        <v>46320</v>
      </c>
      <c r="I128" s="7">
        <v>70134900</v>
      </c>
      <c r="J128" s="7">
        <v>40356633</v>
      </c>
      <c r="K128" t="s">
        <v>92</v>
      </c>
      <c r="L128" s="17">
        <v>208.5</v>
      </c>
      <c r="M128" s="5">
        <v>18</v>
      </c>
      <c r="N128" s="6">
        <f t="shared" si="19"/>
        <v>246.03</v>
      </c>
      <c r="O128" s="18">
        <v>634.22360784313742</v>
      </c>
      <c r="P128" s="7">
        <v>8</v>
      </c>
    </row>
    <row r="129" spans="1:16" x14ac:dyDescent="0.35">
      <c r="A129" s="5" t="str">
        <f t="shared" si="18"/>
        <v>IRA4279685840356654</v>
      </c>
      <c r="B129" s="11" t="s">
        <v>15</v>
      </c>
      <c r="C129" s="7" t="s">
        <v>37</v>
      </c>
      <c r="D129" s="7" t="s">
        <v>72</v>
      </c>
      <c r="E129" s="11" t="s">
        <v>15</v>
      </c>
      <c r="F129" s="11" t="s">
        <v>16</v>
      </c>
      <c r="G129" s="13">
        <v>46251</v>
      </c>
      <c r="H129" s="20">
        <v>46320</v>
      </c>
      <c r="I129" s="7">
        <v>70134900</v>
      </c>
      <c r="J129" s="7">
        <v>40356654</v>
      </c>
      <c r="K129" t="s">
        <v>94</v>
      </c>
      <c r="L129" s="17">
        <v>194.57200000000003</v>
      </c>
      <c r="M129" s="5">
        <v>18</v>
      </c>
      <c r="N129" s="6">
        <f t="shared" si="19"/>
        <v>229.59496000000001</v>
      </c>
      <c r="O129" s="18">
        <v>495.96784313725499</v>
      </c>
      <c r="P129" s="7">
        <v>12</v>
      </c>
    </row>
    <row r="130" spans="1:16" x14ac:dyDescent="0.35">
      <c r="A130" s="5" t="str">
        <f t="shared" si="18"/>
        <v>IRM4328620940240201</v>
      </c>
      <c r="B130" s="11" t="s">
        <v>20</v>
      </c>
      <c r="C130" s="7" t="s">
        <v>53</v>
      </c>
      <c r="D130" s="7" t="s">
        <v>76</v>
      </c>
      <c r="E130" s="11" t="s">
        <v>20</v>
      </c>
      <c r="F130" s="11" t="s">
        <v>28</v>
      </c>
      <c r="G130" s="13">
        <v>46259</v>
      </c>
      <c r="H130" s="20">
        <v>46320</v>
      </c>
      <c r="I130" s="7">
        <v>70134900</v>
      </c>
      <c r="J130" s="7">
        <v>40240201</v>
      </c>
      <c r="K130" t="s">
        <v>98</v>
      </c>
      <c r="L130" s="17">
        <v>114.75</v>
      </c>
      <c r="M130" s="5">
        <v>18</v>
      </c>
      <c r="N130" s="6">
        <f t="shared" si="19"/>
        <v>135.405</v>
      </c>
      <c r="O130" s="18">
        <v>225</v>
      </c>
      <c r="P130" s="7">
        <v>10</v>
      </c>
    </row>
    <row r="131" spans="1:16" x14ac:dyDescent="0.35">
      <c r="A131" s="5" t="str">
        <f t="shared" ref="A131:A142" si="20">_xlfn.CONCAT(C131,J131)</f>
        <v>IRA4201544140356626</v>
      </c>
      <c r="B131" s="11" t="s">
        <v>18</v>
      </c>
      <c r="C131" s="7" t="s">
        <v>54</v>
      </c>
      <c r="D131" s="7" t="s">
        <v>75</v>
      </c>
      <c r="E131" s="11" t="s">
        <v>18</v>
      </c>
      <c r="F131" s="11" t="s">
        <v>26</v>
      </c>
      <c r="G131" s="13">
        <v>46237</v>
      </c>
      <c r="H131" s="20">
        <v>46320</v>
      </c>
      <c r="I131" s="7">
        <v>70134900</v>
      </c>
      <c r="J131" s="7">
        <v>40356626</v>
      </c>
      <c r="K131" t="s">
        <v>97</v>
      </c>
      <c r="L131" s="17">
        <v>235.8</v>
      </c>
      <c r="M131" s="5">
        <v>18</v>
      </c>
      <c r="N131" s="6">
        <f t="shared" ref="N131:N142" si="21">L131*118%</f>
        <v>278.24399999999997</v>
      </c>
      <c r="O131" s="18">
        <v>669.78854901960779</v>
      </c>
      <c r="P131" s="7">
        <v>16</v>
      </c>
    </row>
    <row r="132" spans="1:16" x14ac:dyDescent="0.35">
      <c r="A132" s="5" t="str">
        <f t="shared" si="20"/>
        <v>IRM4328564740356633</v>
      </c>
      <c r="B132" s="11" t="s">
        <v>17</v>
      </c>
      <c r="C132" s="7" t="s">
        <v>56</v>
      </c>
      <c r="D132" s="7" t="s">
        <v>70</v>
      </c>
      <c r="E132" s="11" t="s">
        <v>17</v>
      </c>
      <c r="F132" s="11" t="s">
        <v>25</v>
      </c>
      <c r="G132" s="13">
        <v>46259</v>
      </c>
      <c r="H132" s="20">
        <v>46320</v>
      </c>
      <c r="I132" s="7">
        <v>70134900</v>
      </c>
      <c r="J132" s="7">
        <v>40356633</v>
      </c>
      <c r="K132" t="s">
        <v>92</v>
      </c>
      <c r="L132" s="17">
        <v>208.5</v>
      </c>
      <c r="M132" s="5">
        <v>18</v>
      </c>
      <c r="N132" s="6">
        <f t="shared" si="21"/>
        <v>246.03</v>
      </c>
      <c r="O132" s="18">
        <v>634.22360784313742</v>
      </c>
      <c r="P132" s="7">
        <v>8</v>
      </c>
    </row>
    <row r="133" spans="1:16" x14ac:dyDescent="0.35">
      <c r="A133" s="5" t="str">
        <f t="shared" si="20"/>
        <v>IRA4279916240356642</v>
      </c>
      <c r="B133" s="11" t="s">
        <v>17</v>
      </c>
      <c r="C133" s="7" t="s">
        <v>51</v>
      </c>
      <c r="D133" s="7" t="s">
        <v>85</v>
      </c>
      <c r="E133" s="11" t="s">
        <v>17</v>
      </c>
      <c r="F133" s="11" t="s">
        <v>25</v>
      </c>
      <c r="G133" s="13">
        <v>46251</v>
      </c>
      <c r="H133" s="20">
        <v>46320</v>
      </c>
      <c r="I133" s="7">
        <v>70134900</v>
      </c>
      <c r="J133" s="7">
        <v>40356642</v>
      </c>
      <c r="K133" t="s">
        <v>107</v>
      </c>
      <c r="L133" s="17">
        <v>133</v>
      </c>
      <c r="M133" s="5">
        <v>18</v>
      </c>
      <c r="N133" s="6">
        <f t="shared" si="21"/>
        <v>156.94</v>
      </c>
      <c r="O133" s="18">
        <v>396.68862745098039</v>
      </c>
      <c r="P133" s="7">
        <v>40</v>
      </c>
    </row>
    <row r="134" spans="1:16" x14ac:dyDescent="0.35">
      <c r="A134" s="5" t="str">
        <f t="shared" si="20"/>
        <v>IRA4202493940356627</v>
      </c>
      <c r="B134" s="11" t="s">
        <v>22</v>
      </c>
      <c r="C134" s="7" t="s">
        <v>41</v>
      </c>
      <c r="D134" s="7" t="s">
        <v>67</v>
      </c>
      <c r="E134" s="11" t="s">
        <v>22</v>
      </c>
      <c r="F134" s="11" t="s">
        <v>31</v>
      </c>
      <c r="G134" s="13">
        <v>46237</v>
      </c>
      <c r="H134" s="20">
        <v>46320</v>
      </c>
      <c r="I134" s="7">
        <v>70134900</v>
      </c>
      <c r="J134" s="7">
        <v>40356627</v>
      </c>
      <c r="K134" t="s">
        <v>89</v>
      </c>
      <c r="L134" s="17">
        <v>185</v>
      </c>
      <c r="M134" s="5">
        <v>18</v>
      </c>
      <c r="N134" s="6">
        <f t="shared" si="21"/>
        <v>218.29999999999998</v>
      </c>
      <c r="O134" s="18">
        <v>542.60266666666666</v>
      </c>
      <c r="P134" s="7">
        <v>16</v>
      </c>
    </row>
    <row r="135" spans="1:16" x14ac:dyDescent="0.35">
      <c r="A135" s="5" t="str">
        <f t="shared" si="20"/>
        <v>IRA4280407440356627</v>
      </c>
      <c r="B135" s="11" t="s">
        <v>22</v>
      </c>
      <c r="C135" s="7" t="s">
        <v>52</v>
      </c>
      <c r="D135" s="7" t="s">
        <v>67</v>
      </c>
      <c r="E135" s="11" t="s">
        <v>22</v>
      </c>
      <c r="F135" s="11" t="s">
        <v>31</v>
      </c>
      <c r="G135" s="13">
        <v>46251</v>
      </c>
      <c r="H135" s="20">
        <v>46320</v>
      </c>
      <c r="I135" s="7">
        <v>70134900</v>
      </c>
      <c r="J135" s="7">
        <v>40356627</v>
      </c>
      <c r="K135" t="s">
        <v>89</v>
      </c>
      <c r="L135" s="17">
        <v>185</v>
      </c>
      <c r="M135" s="5">
        <v>18</v>
      </c>
      <c r="N135" s="6">
        <f t="shared" si="21"/>
        <v>218.29999999999998</v>
      </c>
      <c r="O135" s="18">
        <v>542.60266666666666</v>
      </c>
      <c r="P135" s="7">
        <v>70</v>
      </c>
    </row>
    <row r="136" spans="1:16" x14ac:dyDescent="0.35">
      <c r="A136" s="5" t="str">
        <f t="shared" si="20"/>
        <v>IRA4202276740356629</v>
      </c>
      <c r="B136" s="11" t="s">
        <v>24</v>
      </c>
      <c r="C136" s="7" t="s">
        <v>40</v>
      </c>
      <c r="D136" s="7" t="s">
        <v>88</v>
      </c>
      <c r="E136" s="11" t="s">
        <v>24</v>
      </c>
      <c r="F136" s="11" t="s">
        <v>65</v>
      </c>
      <c r="G136" s="13">
        <v>46237</v>
      </c>
      <c r="H136" s="20">
        <v>46320</v>
      </c>
      <c r="I136" s="7">
        <v>70134900</v>
      </c>
      <c r="J136" s="7">
        <v>40356629</v>
      </c>
      <c r="K136" t="s">
        <v>110</v>
      </c>
      <c r="L136" s="17">
        <v>182.5</v>
      </c>
      <c r="M136" s="5">
        <v>18</v>
      </c>
      <c r="N136" s="6">
        <f t="shared" si="21"/>
        <v>215.35</v>
      </c>
      <c r="O136" s="18">
        <v>504.44690196078432</v>
      </c>
      <c r="P136" s="7">
        <v>12</v>
      </c>
    </row>
    <row r="137" spans="1:16" x14ac:dyDescent="0.35">
      <c r="A137" s="5" t="str">
        <f t="shared" si="20"/>
        <v>IRA4201544140240201</v>
      </c>
      <c r="B137" s="11" t="s">
        <v>18</v>
      </c>
      <c r="C137" s="7" t="s">
        <v>54</v>
      </c>
      <c r="D137" s="7" t="s">
        <v>76</v>
      </c>
      <c r="E137" s="11" t="s">
        <v>18</v>
      </c>
      <c r="F137" s="11" t="s">
        <v>26</v>
      </c>
      <c r="G137" s="13">
        <v>46237</v>
      </c>
      <c r="H137" s="20">
        <v>46320</v>
      </c>
      <c r="I137" s="7">
        <v>70134900</v>
      </c>
      <c r="J137" s="7">
        <v>40240201</v>
      </c>
      <c r="K137" t="s">
        <v>98</v>
      </c>
      <c r="L137" s="17">
        <v>114.75</v>
      </c>
      <c r="M137" s="5">
        <v>18</v>
      </c>
      <c r="N137" s="6">
        <f t="shared" si="21"/>
        <v>135.405</v>
      </c>
      <c r="O137" s="18">
        <v>225</v>
      </c>
      <c r="P137" s="7">
        <v>12</v>
      </c>
    </row>
    <row r="138" spans="1:16" x14ac:dyDescent="0.35">
      <c r="A138" s="5" t="str">
        <f t="shared" si="20"/>
        <v>IRA4279916240356629</v>
      </c>
      <c r="B138" s="11" t="s">
        <v>17</v>
      </c>
      <c r="C138" s="7" t="s">
        <v>51</v>
      </c>
      <c r="D138" s="7" t="s">
        <v>88</v>
      </c>
      <c r="E138" s="11" t="s">
        <v>17</v>
      </c>
      <c r="F138" s="11" t="s">
        <v>25</v>
      </c>
      <c r="G138" s="13">
        <v>46251</v>
      </c>
      <c r="H138" s="20">
        <v>46320</v>
      </c>
      <c r="I138" s="7">
        <v>70134900</v>
      </c>
      <c r="J138" s="7">
        <v>40356629</v>
      </c>
      <c r="K138" t="s">
        <v>110</v>
      </c>
      <c r="L138" s="17">
        <v>182.5</v>
      </c>
      <c r="M138" s="5">
        <v>18</v>
      </c>
      <c r="N138" s="6">
        <f t="shared" si="21"/>
        <v>215.35</v>
      </c>
      <c r="O138" s="18">
        <v>504.44690196078432</v>
      </c>
      <c r="P138" s="7">
        <v>24</v>
      </c>
    </row>
    <row r="139" spans="1:16" x14ac:dyDescent="0.35">
      <c r="A139" s="5" t="str">
        <f t="shared" si="20"/>
        <v>IRA4280185340356629</v>
      </c>
      <c r="B139" s="11" t="s">
        <v>24</v>
      </c>
      <c r="C139" s="7" t="s">
        <v>39</v>
      </c>
      <c r="D139" s="7" t="s">
        <v>88</v>
      </c>
      <c r="E139" s="11" t="s">
        <v>24</v>
      </c>
      <c r="F139" s="11" t="s">
        <v>65</v>
      </c>
      <c r="G139" s="13">
        <v>46251</v>
      </c>
      <c r="H139" s="20">
        <v>46320</v>
      </c>
      <c r="I139" s="7">
        <v>70134900</v>
      </c>
      <c r="J139" s="7">
        <v>40356629</v>
      </c>
      <c r="K139" t="s">
        <v>110</v>
      </c>
      <c r="L139" s="17">
        <v>182.5</v>
      </c>
      <c r="M139" s="5">
        <v>18</v>
      </c>
      <c r="N139" s="6">
        <f t="shared" si="21"/>
        <v>215.35</v>
      </c>
      <c r="O139" s="18">
        <v>504.44690196078432</v>
      </c>
      <c r="P139" s="7">
        <v>64</v>
      </c>
    </row>
    <row r="140" spans="1:16" x14ac:dyDescent="0.35">
      <c r="A140" s="5" t="str">
        <f t="shared" si="20"/>
        <v>IRA4280185340356633</v>
      </c>
      <c r="B140" s="11" t="s">
        <v>24</v>
      </c>
      <c r="C140" s="7" t="s">
        <v>39</v>
      </c>
      <c r="D140" s="7" t="s">
        <v>70</v>
      </c>
      <c r="E140" s="11" t="s">
        <v>24</v>
      </c>
      <c r="F140" s="11" t="s">
        <v>65</v>
      </c>
      <c r="G140" s="13">
        <v>46251</v>
      </c>
      <c r="H140" s="20">
        <v>46320</v>
      </c>
      <c r="I140" s="7">
        <v>70134900</v>
      </c>
      <c r="J140" s="7">
        <v>40356633</v>
      </c>
      <c r="K140" t="s">
        <v>92</v>
      </c>
      <c r="L140" s="17">
        <v>208.5</v>
      </c>
      <c r="M140" s="5">
        <v>18</v>
      </c>
      <c r="N140" s="6">
        <f t="shared" si="21"/>
        <v>246.03</v>
      </c>
      <c r="O140" s="18">
        <v>634.22360784313742</v>
      </c>
      <c r="P140" s="7">
        <v>40</v>
      </c>
    </row>
    <row r="141" spans="1:16" x14ac:dyDescent="0.35">
      <c r="A141" s="5" t="str">
        <f t="shared" si="20"/>
        <v>IRA4279462140240201</v>
      </c>
      <c r="B141" s="11" t="s">
        <v>18</v>
      </c>
      <c r="C141" s="7" t="s">
        <v>45</v>
      </c>
      <c r="D141" s="7" t="s">
        <v>76</v>
      </c>
      <c r="E141" s="11" t="s">
        <v>18</v>
      </c>
      <c r="F141" s="11" t="s">
        <v>26</v>
      </c>
      <c r="G141" s="13">
        <v>46251</v>
      </c>
      <c r="H141" s="20">
        <v>46320</v>
      </c>
      <c r="I141" s="7">
        <v>70134900</v>
      </c>
      <c r="J141" s="7">
        <v>40240201</v>
      </c>
      <c r="K141" t="s">
        <v>98</v>
      </c>
      <c r="L141" s="17">
        <v>114.75</v>
      </c>
      <c r="M141" s="5">
        <v>18</v>
      </c>
      <c r="N141" s="6">
        <f t="shared" si="21"/>
        <v>135.405</v>
      </c>
      <c r="O141" s="18">
        <v>225</v>
      </c>
      <c r="P141" s="7">
        <v>20</v>
      </c>
    </row>
    <row r="142" spans="1:16" x14ac:dyDescent="0.35">
      <c r="A142" s="5" t="str">
        <f t="shared" si="20"/>
        <v>IRA4202276740356633</v>
      </c>
      <c r="B142" s="11" t="s">
        <v>24</v>
      </c>
      <c r="C142" s="7" t="s">
        <v>40</v>
      </c>
      <c r="D142" s="7" t="s">
        <v>70</v>
      </c>
      <c r="E142" s="11" t="s">
        <v>24</v>
      </c>
      <c r="F142" s="11" t="s">
        <v>65</v>
      </c>
      <c r="G142" s="13">
        <v>46237</v>
      </c>
      <c r="H142" s="20">
        <v>46320</v>
      </c>
      <c r="I142" s="7">
        <v>70134900</v>
      </c>
      <c r="J142" s="7">
        <v>40356633</v>
      </c>
      <c r="K142" t="s">
        <v>92</v>
      </c>
      <c r="L142" s="17">
        <v>208.5</v>
      </c>
      <c r="M142" s="5">
        <v>18</v>
      </c>
      <c r="N142" s="6">
        <f t="shared" si="21"/>
        <v>246.03</v>
      </c>
      <c r="O142" s="18">
        <v>634.22360784313742</v>
      </c>
      <c r="P142" s="7">
        <v>16</v>
      </c>
    </row>
    <row r="143" spans="1:16" x14ac:dyDescent="0.35">
      <c r="A143" s="5" t="str">
        <f t="shared" ref="A143:A152" si="22">_xlfn.CONCAT(C143,J143)</f>
        <v>IRA4201943540356629</v>
      </c>
      <c r="B143" s="11" t="s">
        <v>23</v>
      </c>
      <c r="C143" s="7" t="s">
        <v>43</v>
      </c>
      <c r="D143" s="7" t="s">
        <v>88</v>
      </c>
      <c r="E143" s="11" t="s">
        <v>23</v>
      </c>
      <c r="F143" s="11" t="s">
        <v>66</v>
      </c>
      <c r="G143" s="13">
        <v>46237</v>
      </c>
      <c r="H143" s="20">
        <v>46320</v>
      </c>
      <c r="I143" s="7">
        <v>70134900</v>
      </c>
      <c r="J143" s="7">
        <v>40356629</v>
      </c>
      <c r="K143" t="s">
        <v>110</v>
      </c>
      <c r="L143" s="17">
        <v>182.5</v>
      </c>
      <c r="M143" s="5">
        <v>18</v>
      </c>
      <c r="N143" s="6">
        <f t="shared" ref="N143:N152" si="23">L143*118%</f>
        <v>215.35</v>
      </c>
      <c r="O143" s="18">
        <v>504.44690196078432</v>
      </c>
      <c r="P143" s="7">
        <v>8</v>
      </c>
    </row>
    <row r="144" spans="1:16" x14ac:dyDescent="0.35">
      <c r="A144" s="5" t="str">
        <f t="shared" si="22"/>
        <v>IRA4279916240356654</v>
      </c>
      <c r="B144" s="11" t="s">
        <v>17</v>
      </c>
      <c r="C144" s="7" t="s">
        <v>51</v>
      </c>
      <c r="D144" s="7" t="s">
        <v>72</v>
      </c>
      <c r="E144" s="11" t="s">
        <v>17</v>
      </c>
      <c r="F144" s="11" t="s">
        <v>25</v>
      </c>
      <c r="G144" s="13">
        <v>46251</v>
      </c>
      <c r="H144" s="20">
        <v>46320</v>
      </c>
      <c r="I144" s="7">
        <v>70134900</v>
      </c>
      <c r="J144" s="7">
        <v>40356654</v>
      </c>
      <c r="K144" t="s">
        <v>94</v>
      </c>
      <c r="L144" s="17">
        <v>194.57200000000003</v>
      </c>
      <c r="M144" s="5">
        <v>18</v>
      </c>
      <c r="N144" s="6">
        <f t="shared" si="23"/>
        <v>229.59496000000001</v>
      </c>
      <c r="O144" s="18">
        <v>495.96784313725499</v>
      </c>
      <c r="P144" s="7">
        <v>24</v>
      </c>
    </row>
    <row r="145" spans="1:16" x14ac:dyDescent="0.35">
      <c r="A145" s="5" t="str">
        <f t="shared" si="22"/>
        <v>IRA4279762340356629</v>
      </c>
      <c r="B145" s="11" t="s">
        <v>23</v>
      </c>
      <c r="C145" s="7" t="s">
        <v>49</v>
      </c>
      <c r="D145" s="7" t="s">
        <v>88</v>
      </c>
      <c r="E145" s="11" t="s">
        <v>23</v>
      </c>
      <c r="F145" s="11" t="s">
        <v>66</v>
      </c>
      <c r="G145" s="13">
        <v>46251</v>
      </c>
      <c r="H145" s="20">
        <v>46320</v>
      </c>
      <c r="I145" s="7">
        <v>70134900</v>
      </c>
      <c r="J145" s="7">
        <v>40356629</v>
      </c>
      <c r="K145" t="s">
        <v>110</v>
      </c>
      <c r="L145" s="17">
        <v>182.5</v>
      </c>
      <c r="M145" s="5">
        <v>18</v>
      </c>
      <c r="N145" s="6">
        <f t="shared" si="23"/>
        <v>215.35</v>
      </c>
      <c r="O145" s="18">
        <v>504.44690196078432</v>
      </c>
      <c r="P145" s="7">
        <v>24</v>
      </c>
    </row>
    <row r="146" spans="1:16" x14ac:dyDescent="0.35">
      <c r="A146" s="5" t="str">
        <f t="shared" si="22"/>
        <v>IRA4202077240356654</v>
      </c>
      <c r="B146" s="11" t="s">
        <v>17</v>
      </c>
      <c r="C146" s="7" t="s">
        <v>57</v>
      </c>
      <c r="D146" s="7" t="s">
        <v>72</v>
      </c>
      <c r="E146" s="11" t="s">
        <v>17</v>
      </c>
      <c r="F146" s="11" t="s">
        <v>25</v>
      </c>
      <c r="G146" s="13">
        <v>46237</v>
      </c>
      <c r="H146" s="20">
        <v>46320</v>
      </c>
      <c r="I146" s="7">
        <v>70134900</v>
      </c>
      <c r="J146" s="7">
        <v>40356654</v>
      </c>
      <c r="K146" t="s">
        <v>94</v>
      </c>
      <c r="L146" s="17">
        <v>194.57200000000003</v>
      </c>
      <c r="M146" s="5">
        <v>18</v>
      </c>
      <c r="N146" s="6">
        <f t="shared" si="23"/>
        <v>229.59496000000001</v>
      </c>
      <c r="O146" s="18">
        <v>495.96784313725499</v>
      </c>
      <c r="P146" s="7">
        <v>12</v>
      </c>
    </row>
    <row r="147" spans="1:16" x14ac:dyDescent="0.35">
      <c r="A147" s="5" t="str">
        <f t="shared" si="22"/>
        <v>IRM4328620840183555</v>
      </c>
      <c r="B147" s="11" t="s">
        <v>20</v>
      </c>
      <c r="C147" s="7" t="s">
        <v>62</v>
      </c>
      <c r="D147" s="7" t="s">
        <v>87</v>
      </c>
      <c r="E147" s="11" t="s">
        <v>20</v>
      </c>
      <c r="F147" s="11" t="s">
        <v>28</v>
      </c>
      <c r="G147" s="13">
        <v>46259</v>
      </c>
      <c r="H147" s="20">
        <v>46320</v>
      </c>
      <c r="I147" s="7">
        <v>70134900</v>
      </c>
      <c r="J147" s="7">
        <v>40183555</v>
      </c>
      <c r="K147" t="s">
        <v>109</v>
      </c>
      <c r="L147" s="17">
        <v>255</v>
      </c>
      <c r="M147" s="5">
        <v>18</v>
      </c>
      <c r="N147" s="6">
        <f t="shared" si="23"/>
        <v>300.89999999999998</v>
      </c>
      <c r="O147" s="18">
        <v>683.03529411764714</v>
      </c>
      <c r="P147" s="7">
        <v>12</v>
      </c>
    </row>
    <row r="148" spans="1:16" x14ac:dyDescent="0.35">
      <c r="A148" s="5" t="str">
        <f t="shared" si="22"/>
        <v>IRA4279868940183555</v>
      </c>
      <c r="B148" s="11" t="s">
        <v>20</v>
      </c>
      <c r="C148" s="7" t="s">
        <v>44</v>
      </c>
      <c r="D148" s="7" t="s">
        <v>87</v>
      </c>
      <c r="E148" s="11" t="s">
        <v>20</v>
      </c>
      <c r="F148" s="11" t="s">
        <v>28</v>
      </c>
      <c r="G148" s="13">
        <v>46251</v>
      </c>
      <c r="H148" s="20">
        <v>46320</v>
      </c>
      <c r="I148" s="7">
        <v>70134900</v>
      </c>
      <c r="J148" s="7">
        <v>40183555</v>
      </c>
      <c r="K148" t="s">
        <v>109</v>
      </c>
      <c r="L148" s="17">
        <v>255</v>
      </c>
      <c r="M148" s="5">
        <v>18</v>
      </c>
      <c r="N148" s="6">
        <f t="shared" si="23"/>
        <v>300.89999999999998</v>
      </c>
      <c r="O148" s="18">
        <v>683.03529411764714</v>
      </c>
      <c r="P148" s="7">
        <v>36</v>
      </c>
    </row>
    <row r="149" spans="1:16" x14ac:dyDescent="0.35">
      <c r="A149" s="5" t="str">
        <f t="shared" si="22"/>
        <v>IRA4279491640356632</v>
      </c>
      <c r="B149" s="11" t="s">
        <v>21</v>
      </c>
      <c r="C149" s="7" t="s">
        <v>33</v>
      </c>
      <c r="D149" s="7" t="s">
        <v>74</v>
      </c>
      <c r="E149" s="11" t="s">
        <v>21</v>
      </c>
      <c r="F149" s="11" t="s">
        <v>30</v>
      </c>
      <c r="G149" s="13">
        <v>46251</v>
      </c>
      <c r="H149" s="20">
        <v>46320</v>
      </c>
      <c r="I149" s="7">
        <v>70134900</v>
      </c>
      <c r="J149" s="7">
        <v>40356632</v>
      </c>
      <c r="K149" t="s">
        <v>96</v>
      </c>
      <c r="L149" s="17">
        <v>200</v>
      </c>
      <c r="M149" s="5">
        <v>18</v>
      </c>
      <c r="N149" s="6">
        <f t="shared" si="23"/>
        <v>236</v>
      </c>
      <c r="O149" s="18">
        <v>568.03984313725493</v>
      </c>
      <c r="P149" s="7">
        <v>32</v>
      </c>
    </row>
    <row r="150" spans="1:16" x14ac:dyDescent="0.35">
      <c r="A150" s="5" t="str">
        <f t="shared" si="22"/>
        <v>IRA4279685840183555</v>
      </c>
      <c r="B150" s="11" t="s">
        <v>15</v>
      </c>
      <c r="C150" s="7" t="s">
        <v>37</v>
      </c>
      <c r="D150" s="7" t="s">
        <v>87</v>
      </c>
      <c r="E150" s="11" t="s">
        <v>15</v>
      </c>
      <c r="F150" s="11" t="s">
        <v>16</v>
      </c>
      <c r="G150" s="13">
        <v>46251</v>
      </c>
      <c r="H150" s="20">
        <v>46320</v>
      </c>
      <c r="I150" s="7">
        <v>70134900</v>
      </c>
      <c r="J150" s="7">
        <v>40183555</v>
      </c>
      <c r="K150" t="s">
        <v>109</v>
      </c>
      <c r="L150" s="17">
        <v>255</v>
      </c>
      <c r="M150" s="5">
        <v>18</v>
      </c>
      <c r="N150" s="6">
        <f t="shared" si="23"/>
        <v>300.89999999999998</v>
      </c>
      <c r="O150" s="18">
        <v>683.03529411764714</v>
      </c>
      <c r="P150" s="7">
        <v>72</v>
      </c>
    </row>
    <row r="151" spans="1:16" x14ac:dyDescent="0.35">
      <c r="A151" s="5" t="str">
        <f t="shared" si="22"/>
        <v>IRA4279462140356640</v>
      </c>
      <c r="B151" s="11" t="s">
        <v>18</v>
      </c>
      <c r="C151" s="7" t="s">
        <v>45</v>
      </c>
      <c r="D151" s="7" t="s">
        <v>69</v>
      </c>
      <c r="E151" s="11" t="s">
        <v>18</v>
      </c>
      <c r="F151" s="11" t="s">
        <v>26</v>
      </c>
      <c r="G151" s="13">
        <v>46251</v>
      </c>
      <c r="H151" s="20">
        <v>46320</v>
      </c>
      <c r="I151" s="7">
        <v>70134900</v>
      </c>
      <c r="J151" s="7">
        <v>40356640</v>
      </c>
      <c r="K151" t="s">
        <v>91</v>
      </c>
      <c r="L151" s="17">
        <v>257.25</v>
      </c>
      <c r="M151" s="5">
        <v>18</v>
      </c>
      <c r="N151" s="6">
        <f t="shared" si="23"/>
        <v>303.55500000000001</v>
      </c>
      <c r="O151" s="18">
        <v>525</v>
      </c>
      <c r="P151" s="7">
        <v>66</v>
      </c>
    </row>
    <row r="152" spans="1:16" x14ac:dyDescent="0.35">
      <c r="A152" s="5" t="str">
        <f t="shared" si="22"/>
        <v>IRM4328621940356632</v>
      </c>
      <c r="B152" s="11" t="s">
        <v>21</v>
      </c>
      <c r="C152" s="7" t="s">
        <v>59</v>
      </c>
      <c r="D152" s="7" t="s">
        <v>74</v>
      </c>
      <c r="E152" s="11" t="s">
        <v>21</v>
      </c>
      <c r="F152" s="11" t="s">
        <v>30</v>
      </c>
      <c r="G152" s="13">
        <v>46259</v>
      </c>
      <c r="H152" s="20">
        <v>46320</v>
      </c>
      <c r="I152" s="7">
        <v>70134900</v>
      </c>
      <c r="J152" s="7">
        <v>40356632</v>
      </c>
      <c r="K152" t="s">
        <v>96</v>
      </c>
      <c r="L152" s="17">
        <v>200</v>
      </c>
      <c r="M152" s="5">
        <v>18</v>
      </c>
      <c r="N152" s="6">
        <f t="shared" si="23"/>
        <v>236</v>
      </c>
      <c r="O152" s="18">
        <v>568.03984313725493</v>
      </c>
      <c r="P152" s="7">
        <v>16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Patil</cp:lastModifiedBy>
  <dcterms:created xsi:type="dcterms:W3CDTF">2025-07-05T07:28:45Z</dcterms:created>
  <dcterms:modified xsi:type="dcterms:W3CDTF">2026-10-10T10:13:50Z</dcterms:modified>
</cp:coreProperties>
</file>