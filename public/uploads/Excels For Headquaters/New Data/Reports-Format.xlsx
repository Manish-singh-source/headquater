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DOCUMENT UPDATED\data from dell 12 aug 2023\sv\sv\FY 22\other\headquater\"/>
    </mc:Choice>
  </mc:AlternateContent>
  <bookViews>
    <workbookView xWindow="0" yWindow="0" windowWidth="20490" windowHeight="7200" tabRatio="742" firstSheet="2" activeTab="2"/>
  </bookViews>
  <sheets>
    <sheet name="inventory stock" sheetId="1" r:id="rId1"/>
    <sheet name="Customer Sale 1A summary" sheetId="4" r:id="rId2"/>
    <sheet name="Customer sale 1B Sku level" sheetId="5" r:id="rId3"/>
    <sheet name="Customer sale 1" sheetId="2" r:id="rId4"/>
    <sheet name=" Vendor Purchase 1A Summary" sheetId="6" r:id="rId5"/>
    <sheet name=" Vendor Purchase 1B Sku level" sheetId="7" r:id="rId6"/>
    <sheet name=" Vendor Purchase" sheetId="3" r:id="rId7"/>
  </sheets>
  <definedNames>
    <definedName name="_xlnm._FilterDatabase" localSheetId="6" hidden="1">' Vendor Purchase'!$W$1:$AB$4</definedName>
    <definedName name="_xlnm._FilterDatabase" localSheetId="4" hidden="1">' Vendor Purchase 1A Summary'!$D$1:$S$3</definedName>
    <definedName name="_xlnm._FilterDatabase" localSheetId="5" hidden="1">' Vendor Purchase 1B Sku level'!$D$1:$W$4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4" l="1"/>
  <c r="Y2" i="4"/>
  <c r="U5" i="4"/>
  <c r="W22" i="2"/>
</calcChain>
</file>

<file path=xl/sharedStrings.xml><?xml version="1.0" encoding="utf-8"?>
<sst xmlns="http://schemas.openxmlformats.org/spreadsheetml/2006/main" count="1547" uniqueCount="228">
  <si>
    <t>Warehouse</t>
  </si>
  <si>
    <t>Brand</t>
  </si>
  <si>
    <t>Brand Title</t>
  </si>
  <si>
    <t>Category</t>
  </si>
  <si>
    <t>SKU</t>
  </si>
  <si>
    <t>PCS/Set</t>
  </si>
  <si>
    <t>Sets/CTN</t>
  </si>
  <si>
    <t>MRP</t>
  </si>
  <si>
    <t>Original Quantity</t>
  </si>
  <si>
    <t>Available Quantity</t>
  </si>
  <si>
    <t>Hold Qty</t>
  </si>
  <si>
    <t>Date</t>
  </si>
  <si>
    <t>Kandivali Warehouse 2</t>
  </si>
  <si>
    <t>ClayArt</t>
  </si>
  <si>
    <t>ClayArt Dinner Set 18pc</t>
  </si>
  <si>
    <t>Glasses</t>
  </si>
  <si>
    <t>IV023494Y</t>
  </si>
  <si>
    <t>Ocean</t>
  </si>
  <si>
    <t>Ocean Fry Pan Small</t>
  </si>
  <si>
    <t>Bottles</t>
  </si>
  <si>
    <t>IV024896N</t>
  </si>
  <si>
    <t>Tupperware</t>
  </si>
  <si>
    <t>Tupperware Ceramic Mug</t>
  </si>
  <si>
    <t>Bowls</t>
  </si>
  <si>
    <t>IV052499N</t>
  </si>
  <si>
    <t>Borcam</t>
  </si>
  <si>
    <t>Borcam Ceramic Mug</t>
  </si>
  <si>
    <t>Jars</t>
  </si>
  <si>
    <t>IV053765R</t>
  </si>
  <si>
    <t>Cello</t>
  </si>
  <si>
    <t>Cello Tea Cup Set</t>
  </si>
  <si>
    <t>IV057481G</t>
  </si>
  <si>
    <t>Milton</t>
  </si>
  <si>
    <t>Milton Solid Tumbler 300Ml- Yellow</t>
  </si>
  <si>
    <t>Cookware</t>
  </si>
  <si>
    <t>IV062144B</t>
  </si>
  <si>
    <t>Cello Glass Bowl 500Ml</t>
  </si>
  <si>
    <t>IV132229X</t>
  </si>
  <si>
    <t>Borosil</t>
  </si>
  <si>
    <t>Borosil Fry Pan Small</t>
  </si>
  <si>
    <t>IV202569U</t>
  </si>
  <si>
    <t>IV206658V</t>
  </si>
  <si>
    <t>Borosil Water Bottle 1L</t>
  </si>
  <si>
    <t>IV215482W</t>
  </si>
  <si>
    <t>Milton Crystal Plate</t>
  </si>
  <si>
    <t>IV219942C</t>
  </si>
  <si>
    <t>Ocean Water Bottle 1L</t>
  </si>
  <si>
    <t>Sets</t>
  </si>
  <si>
    <t>IV229893U</t>
  </si>
  <si>
    <t>Luminarc</t>
  </si>
  <si>
    <t>Luminarc Ceramic Mug</t>
  </si>
  <si>
    <t>IV257315P</t>
  </si>
  <si>
    <t>IV259060L</t>
  </si>
  <si>
    <t>Ocean Ceramic Mug</t>
  </si>
  <si>
    <t>IV323967C</t>
  </si>
  <si>
    <t>Borcam Tea Cup Set</t>
  </si>
  <si>
    <t>IV370324H</t>
  </si>
  <si>
    <t>Iveo</t>
  </si>
  <si>
    <t>Iveo Crystal Plate</t>
  </si>
  <si>
    <t>IV433122L</t>
  </si>
  <si>
    <t>Cello Dinner Set 18pc</t>
  </si>
  <si>
    <t>IV472087D</t>
  </si>
  <si>
    <t>IV488661V</t>
  </si>
  <si>
    <t>ClayArt Solid Tumbler 300Ml- Yellow</t>
  </si>
  <si>
    <t>IV513456R</t>
  </si>
  <si>
    <t>Borosil Dinner Set 18pc</t>
  </si>
  <si>
    <t>Plates</t>
  </si>
  <si>
    <t>IV514114R</t>
  </si>
  <si>
    <t>Borcam Dinner Set 18pc</t>
  </si>
  <si>
    <t>IV519515A</t>
  </si>
  <si>
    <t>Ocean Solid Tumbler 300Ml- Yellow</t>
  </si>
  <si>
    <t>IV543126L</t>
  </si>
  <si>
    <t>Tupperware Storage Box Set</t>
  </si>
  <si>
    <t>IV558923I</t>
  </si>
  <si>
    <t>IV624055T</t>
  </si>
  <si>
    <t>Borosil Crystal Plate</t>
  </si>
  <si>
    <t>IV685731N</t>
  </si>
  <si>
    <t>IV728962C</t>
  </si>
  <si>
    <t>Tupperware Glass Jar 800ml</t>
  </si>
  <si>
    <t>IV825095R</t>
  </si>
  <si>
    <t>LaOpala</t>
  </si>
  <si>
    <t>LaOpala Glass Bowl 500Ml</t>
  </si>
  <si>
    <t>IV885856H</t>
  </si>
  <si>
    <t>IV942740M</t>
  </si>
  <si>
    <t>Baroda Warehouse 1</t>
  </si>
  <si>
    <t>Customer Group Name</t>
  </si>
  <si>
    <t>Warehouse Name</t>
  </si>
  <si>
    <t>Customer Name</t>
  </si>
  <si>
    <t>Invoice No</t>
  </si>
  <si>
    <t>Customer Phone No</t>
  </si>
  <si>
    <t>Customer Email</t>
  </si>
  <si>
    <t>Customer City</t>
  </si>
  <si>
    <t>Customer State</t>
  </si>
  <si>
    <t>PO No</t>
  </si>
  <si>
    <t>PO Date</t>
  </si>
  <si>
    <t>Appointment Date</t>
  </si>
  <si>
    <t>Due Date</t>
  </si>
  <si>
    <t>POD</t>
  </si>
  <si>
    <t>GRN</t>
  </si>
  <si>
    <t>DN</t>
  </si>
  <si>
    <t>DN Receipt</t>
  </si>
  <si>
    <t>LR</t>
  </si>
  <si>
    <t>Currency</t>
  </si>
  <si>
    <t>HSN</t>
  </si>
  <si>
    <t>Ordered Quantity</t>
  </si>
  <si>
    <t>Dispatched Quantity</t>
  </si>
  <si>
    <t>Box Count</t>
  </si>
  <si>
    <t>Weight</t>
  </si>
  <si>
    <t>Unit Price</t>
  </si>
  <si>
    <t>Subtotal</t>
  </si>
  <si>
    <t>GST</t>
  </si>
  <si>
    <t>Total</t>
  </si>
  <si>
    <t>Status</t>
  </si>
  <si>
    <t>Total Amount</t>
  </si>
  <si>
    <t>Amount Paid</t>
  </si>
  <si>
    <t>Balance</t>
  </si>
  <si>
    <t>Date Of Payment</t>
  </si>
  <si>
    <t>Payment Mode</t>
  </si>
  <si>
    <t>CGST</t>
  </si>
  <si>
    <t>SGST</t>
  </si>
  <si>
    <t>IGST</t>
  </si>
  <si>
    <t>Cess</t>
  </si>
  <si>
    <t>Technofra</t>
  </si>
  <si>
    <t>khushi</t>
  </si>
  <si>
    <t>INV-1763354758-0000</t>
  </si>
  <si>
    <t>9879879877</t>
  </si>
  <si>
    <t>khushi@gmail.com</t>
  </si>
  <si>
    <t>BANGALORE</t>
  </si>
  <si>
    <t>Karnataka</t>
  </si>
  <si>
    <t>8693357093003</t>
  </si>
  <si>
    <t>01-08-2025</t>
  </si>
  <si>
    <t>20-11-2025</t>
  </si>
  <si>
    <t>20-12-2025</t>
  </si>
  <si>
    <t>Yes</t>
  </si>
  <si>
    <t>1000</t>
  </si>
  <si>
    <t>No</t>
  </si>
  <si>
    <t>INR</t>
  </si>
  <si>
    <t>70139900</t>
  </si>
  <si>
    <t>296.47</t>
  </si>
  <si>
    <t>29647.00</t>
  </si>
  <si>
    <t>12</t>
  </si>
  <si>
    <t>33204.64</t>
  </si>
  <si>
    <t>Ready To Ship</t>
  </si>
  <si>
    <t>359750.00</t>
  </si>
  <si>
    <t>20000.00</t>
  </si>
  <si>
    <t>339750.00</t>
  </si>
  <si>
    <t>17-11-2025</t>
  </si>
  <si>
    <t>cash</t>
  </si>
  <si>
    <t>N/A</t>
  </si>
  <si>
    <t>INV-1763354758-0001</t>
  </si>
  <si>
    <t>14823.50</t>
  </si>
  <si>
    <t>16602.32</t>
  </si>
  <si>
    <t>18</t>
  </si>
  <si>
    <t>34983.46</t>
  </si>
  <si>
    <t>17491.73</t>
  </si>
  <si>
    <t>70208100</t>
  </si>
  <si>
    <t>298.47</t>
  </si>
  <si>
    <t>29847.00</t>
  </si>
  <si>
    <t>35219.46</t>
  </si>
  <si>
    <t>14923.50</t>
  </si>
  <si>
    <t>17609.73</t>
  </si>
  <si>
    <t>402.45</t>
  </si>
  <si>
    <t>40245.00</t>
  </si>
  <si>
    <t>47489.10</t>
  </si>
  <si>
    <t>20122.50</t>
  </si>
  <si>
    <t>23744.55</t>
  </si>
  <si>
    <t>70263900</t>
  </si>
  <si>
    <t>70294900</t>
  </si>
  <si>
    <t>253.87</t>
  </si>
  <si>
    <t>25387.00</t>
  </si>
  <si>
    <t>29956.66</t>
  </si>
  <si>
    <t>12693.50</t>
  </si>
  <si>
    <t>14978.33</t>
  </si>
  <si>
    <t>28433.44</t>
  </si>
  <si>
    <t>14216.72</t>
  </si>
  <si>
    <t>Purchase Order No</t>
  </si>
  <si>
    <t>Purchase Order Date</t>
  </si>
  <si>
    <t>Vendor Name</t>
  </si>
  <si>
    <t>GSTIN</t>
  </si>
  <si>
    <t>Item Name</t>
  </si>
  <si>
    <t>HSN/SAC</t>
  </si>
  <si>
    <t>Quantity</t>
  </si>
  <si>
    <t>UoM</t>
  </si>
  <si>
    <t>Rate</t>
  </si>
  <si>
    <t>Discount</t>
  </si>
  <si>
    <t>Taxable Value</t>
  </si>
  <si>
    <t>GST Amount</t>
  </si>
  <si>
    <t>Cess Amount</t>
  </si>
  <si>
    <t>PAN</t>
  </si>
  <si>
    <t>Payment Status</t>
  </si>
  <si>
    <t>Payment Method</t>
  </si>
  <si>
    <t>Invoice Ref</t>
  </si>
  <si>
    <t>Invoice Date</t>
  </si>
  <si>
    <t>Invoice Amount</t>
  </si>
  <si>
    <t>Invoice Due</t>
  </si>
  <si>
    <t>Invoice Paid</t>
  </si>
  <si>
    <t>Invoice Uploaded</t>
  </si>
  <si>
    <t>GRN Uploaded</t>
  </si>
  <si>
    <t>Shipping Charges</t>
  </si>
  <si>
    <t>PO Created</t>
  </si>
  <si>
    <t>PI Received</t>
  </si>
  <si>
    <t>Approved</t>
  </si>
  <si>
    <t>Neelam</t>
  </si>
  <si>
    <t>PCS</t>
  </si>
  <si>
    <t>Pending</t>
  </si>
  <si>
    <t>Completed</t>
  </si>
  <si>
    <t>K.I.Glassware India Pvt. Ltd</t>
  </si>
  <si>
    <t>06AACCK5877E1ZF</t>
  </si>
  <si>
    <t>AACCK5877E</t>
  </si>
  <si>
    <t>Partial Paid</t>
  </si>
  <si>
    <t>INV-234234</t>
  </si>
  <si>
    <t>GSt value</t>
  </si>
  <si>
    <t>Invoice Status</t>
  </si>
  <si>
    <t>Cleared</t>
  </si>
  <si>
    <t>Cancelled</t>
  </si>
  <si>
    <t>PO SKU</t>
  </si>
  <si>
    <t>Sku code</t>
  </si>
  <si>
    <t>title</t>
  </si>
  <si>
    <t>Purchse Rate</t>
  </si>
  <si>
    <t>GSt</t>
  </si>
  <si>
    <t>Purchse order No</t>
  </si>
  <si>
    <t>GST amount</t>
  </si>
  <si>
    <t>Taxabale amount</t>
  </si>
  <si>
    <t>Invoice amount</t>
  </si>
  <si>
    <t>GSt %</t>
  </si>
  <si>
    <t>Total value</t>
  </si>
  <si>
    <t>Taxable value</t>
  </si>
  <si>
    <t>PI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</si>
</sst>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Fon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0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workbookViewId="0">
      <selection activeCell="K13" sqref="K13"/>
    </sheetView>
  </sheetViews>
  <sheetFormatPr defaultRowHeight="15" x14ac:dyDescent="0.25"/>
  <cols>
    <col min="1" max="1" width="21.5703125" bestFit="1" customWidth="1"/>
    <col min="3" max="3" width="33.85546875" bestFit="1" customWidth="1"/>
    <col min="12" max="15" width="9.140625" style="6"/>
    <col min="16" max="16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226</v>
      </c>
      <c r="M1" s="6" t="s">
        <v>224</v>
      </c>
      <c r="N1" s="6" t="s">
        <v>211</v>
      </c>
      <c r="O1" s="6" t="s">
        <v>225</v>
      </c>
      <c r="P1" t="s">
        <v>11</v>
      </c>
    </row>
    <row r="2" spans="1:1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</v>
      </c>
      <c r="G2">
        <v>24</v>
      </c>
      <c r="H2">
        <v>589</v>
      </c>
      <c r="I2">
        <v>200</v>
      </c>
      <c r="J2">
        <v>200</v>
      </c>
      <c r="K2">
        <v>0</v>
      </c>
      <c r="L2" s="6">
        <v>117800</v>
      </c>
      <c r="P2" s="1">
        <v>45978</v>
      </c>
    </row>
    <row r="3" spans="1:16" x14ac:dyDescent="0.25">
      <c r="A3" t="s">
        <v>12</v>
      </c>
      <c r="B3" t="s">
        <v>17</v>
      </c>
      <c r="C3" t="s">
        <v>18</v>
      </c>
      <c r="D3" t="s">
        <v>19</v>
      </c>
      <c r="E3" t="s">
        <v>20</v>
      </c>
      <c r="F3">
        <v>1</v>
      </c>
      <c r="G3">
        <v>12</v>
      </c>
      <c r="H3">
        <v>467</v>
      </c>
      <c r="I3">
        <v>200</v>
      </c>
      <c r="J3">
        <v>200</v>
      </c>
      <c r="K3">
        <v>0</v>
      </c>
      <c r="L3" s="6">
        <v>93400</v>
      </c>
      <c r="P3" s="1">
        <v>45978</v>
      </c>
    </row>
    <row r="4" spans="1:16" x14ac:dyDescent="0.25">
      <c r="A4" t="s">
        <v>12</v>
      </c>
      <c r="B4" t="s">
        <v>21</v>
      </c>
      <c r="C4" t="s">
        <v>22</v>
      </c>
      <c r="D4" t="s">
        <v>23</v>
      </c>
      <c r="E4" t="s">
        <v>24</v>
      </c>
      <c r="F4">
        <v>3</v>
      </c>
      <c r="G4">
        <v>18</v>
      </c>
      <c r="H4">
        <v>406</v>
      </c>
      <c r="I4">
        <v>200</v>
      </c>
      <c r="J4">
        <v>200</v>
      </c>
      <c r="K4">
        <v>0</v>
      </c>
      <c r="L4" s="6">
        <v>81200</v>
      </c>
      <c r="P4" s="1">
        <v>45978</v>
      </c>
    </row>
    <row r="5" spans="1:16" x14ac:dyDescent="0.25">
      <c r="A5" t="s">
        <v>12</v>
      </c>
      <c r="B5" t="s">
        <v>25</v>
      </c>
      <c r="C5" t="s">
        <v>26</v>
      </c>
      <c r="D5" t="s">
        <v>27</v>
      </c>
      <c r="E5" t="s">
        <v>28</v>
      </c>
      <c r="F5">
        <v>2</v>
      </c>
      <c r="G5">
        <v>24</v>
      </c>
      <c r="H5">
        <v>471</v>
      </c>
      <c r="I5">
        <v>200</v>
      </c>
      <c r="J5">
        <v>200</v>
      </c>
      <c r="K5">
        <v>0</v>
      </c>
      <c r="L5" s="6">
        <v>94200</v>
      </c>
      <c r="P5" s="1">
        <v>45978</v>
      </c>
    </row>
    <row r="6" spans="1:16" x14ac:dyDescent="0.25">
      <c r="A6" t="s">
        <v>12</v>
      </c>
      <c r="B6" t="s">
        <v>29</v>
      </c>
      <c r="C6" t="s">
        <v>30</v>
      </c>
      <c r="D6" t="s">
        <v>19</v>
      </c>
      <c r="E6" t="s">
        <v>31</v>
      </c>
      <c r="F6">
        <v>5</v>
      </c>
      <c r="G6">
        <v>18</v>
      </c>
      <c r="H6">
        <v>527</v>
      </c>
      <c r="I6">
        <v>200</v>
      </c>
      <c r="J6">
        <v>200</v>
      </c>
      <c r="K6">
        <v>0</v>
      </c>
      <c r="L6" s="6">
        <v>105400</v>
      </c>
      <c r="P6" s="1">
        <v>45978</v>
      </c>
    </row>
    <row r="7" spans="1:16" x14ac:dyDescent="0.25">
      <c r="A7" t="s">
        <v>12</v>
      </c>
      <c r="B7" t="s">
        <v>32</v>
      </c>
      <c r="C7" t="s">
        <v>33</v>
      </c>
      <c r="D7" t="s">
        <v>34</v>
      </c>
      <c r="E7" t="s">
        <v>35</v>
      </c>
      <c r="F7">
        <v>1</v>
      </c>
      <c r="G7">
        <v>30</v>
      </c>
      <c r="H7">
        <v>560</v>
      </c>
      <c r="I7">
        <v>200</v>
      </c>
      <c r="J7">
        <v>200</v>
      </c>
      <c r="K7">
        <v>0</v>
      </c>
      <c r="L7" s="6">
        <v>112000</v>
      </c>
      <c r="P7" s="1">
        <v>45978</v>
      </c>
    </row>
    <row r="8" spans="1:16" x14ac:dyDescent="0.25">
      <c r="A8" t="s">
        <v>12</v>
      </c>
      <c r="B8" t="s">
        <v>29</v>
      </c>
      <c r="C8" t="s">
        <v>36</v>
      </c>
      <c r="D8" t="s">
        <v>23</v>
      </c>
      <c r="E8" t="s">
        <v>37</v>
      </c>
      <c r="F8">
        <v>4</v>
      </c>
      <c r="G8">
        <v>12</v>
      </c>
      <c r="H8">
        <v>120</v>
      </c>
      <c r="I8">
        <v>200</v>
      </c>
      <c r="J8">
        <v>200</v>
      </c>
      <c r="K8">
        <v>0</v>
      </c>
      <c r="L8" s="6">
        <v>24000</v>
      </c>
      <c r="P8" s="1">
        <v>45978</v>
      </c>
    </row>
    <row r="9" spans="1:16" x14ac:dyDescent="0.25">
      <c r="A9" t="s">
        <v>12</v>
      </c>
      <c r="B9" t="s">
        <v>38</v>
      </c>
      <c r="C9" t="s">
        <v>39</v>
      </c>
      <c r="D9" t="s">
        <v>23</v>
      </c>
      <c r="E9" t="s">
        <v>40</v>
      </c>
      <c r="F9">
        <v>3</v>
      </c>
      <c r="G9">
        <v>30</v>
      </c>
      <c r="H9">
        <v>187</v>
      </c>
      <c r="I9">
        <v>200</v>
      </c>
      <c r="J9">
        <v>200</v>
      </c>
      <c r="K9">
        <v>0</v>
      </c>
      <c r="L9" s="6">
        <v>37400</v>
      </c>
      <c r="P9" s="1">
        <v>45978</v>
      </c>
    </row>
    <row r="10" spans="1:16" x14ac:dyDescent="0.25">
      <c r="A10" t="s">
        <v>12</v>
      </c>
      <c r="B10" t="s">
        <v>29</v>
      </c>
      <c r="C10" t="s">
        <v>30</v>
      </c>
      <c r="D10" t="s">
        <v>15</v>
      </c>
      <c r="E10" t="s">
        <v>41</v>
      </c>
      <c r="F10">
        <v>3</v>
      </c>
      <c r="G10">
        <v>30</v>
      </c>
      <c r="H10">
        <v>518</v>
      </c>
      <c r="I10">
        <v>200</v>
      </c>
      <c r="J10">
        <v>200</v>
      </c>
      <c r="K10">
        <v>0</v>
      </c>
      <c r="L10" s="6">
        <v>103600</v>
      </c>
      <c r="P10" s="1">
        <v>45978</v>
      </c>
    </row>
    <row r="11" spans="1:16" x14ac:dyDescent="0.25">
      <c r="A11" t="s">
        <v>12</v>
      </c>
      <c r="B11" t="s">
        <v>38</v>
      </c>
      <c r="C11" t="s">
        <v>42</v>
      </c>
      <c r="D11" t="s">
        <v>19</v>
      </c>
      <c r="E11" t="s">
        <v>43</v>
      </c>
      <c r="F11">
        <v>4</v>
      </c>
      <c r="G11">
        <v>6</v>
      </c>
      <c r="H11">
        <v>102</v>
      </c>
      <c r="I11">
        <v>200</v>
      </c>
      <c r="J11">
        <v>200</v>
      </c>
      <c r="K11">
        <v>0</v>
      </c>
      <c r="L11" s="6">
        <v>20400</v>
      </c>
      <c r="P11" s="1">
        <v>45978</v>
      </c>
    </row>
    <row r="12" spans="1:16" x14ac:dyDescent="0.25">
      <c r="A12" t="s">
        <v>12</v>
      </c>
      <c r="B12" t="s">
        <v>32</v>
      </c>
      <c r="C12" t="s">
        <v>44</v>
      </c>
      <c r="D12" t="s">
        <v>15</v>
      </c>
      <c r="E12" t="s">
        <v>45</v>
      </c>
      <c r="F12">
        <v>2</v>
      </c>
      <c r="G12">
        <v>30</v>
      </c>
      <c r="H12">
        <v>143</v>
      </c>
      <c r="I12">
        <v>100</v>
      </c>
      <c r="J12">
        <v>50</v>
      </c>
      <c r="K12">
        <v>50</v>
      </c>
      <c r="L12" s="6">
        <v>7150</v>
      </c>
      <c r="P12" s="1">
        <v>45978</v>
      </c>
    </row>
    <row r="13" spans="1:16" x14ac:dyDescent="0.25">
      <c r="A13" t="s">
        <v>12</v>
      </c>
      <c r="B13" t="s">
        <v>17</v>
      </c>
      <c r="C13" t="s">
        <v>46</v>
      </c>
      <c r="D13" t="s">
        <v>47</v>
      </c>
      <c r="E13" t="s">
        <v>48</v>
      </c>
      <c r="F13">
        <v>1</v>
      </c>
      <c r="G13">
        <v>24</v>
      </c>
      <c r="H13">
        <v>456</v>
      </c>
      <c r="I13">
        <v>100</v>
      </c>
      <c r="J13">
        <v>50</v>
      </c>
      <c r="K13">
        <v>50</v>
      </c>
      <c r="L13" s="6">
        <v>22800</v>
      </c>
      <c r="P13" s="1">
        <v>45978</v>
      </c>
    </row>
    <row r="14" spans="1:16" x14ac:dyDescent="0.25">
      <c r="A14" t="s">
        <v>12</v>
      </c>
      <c r="B14" t="s">
        <v>49</v>
      </c>
      <c r="C14" t="s">
        <v>50</v>
      </c>
      <c r="D14" t="s">
        <v>27</v>
      </c>
      <c r="E14" t="s">
        <v>51</v>
      </c>
      <c r="F14">
        <v>1</v>
      </c>
      <c r="G14">
        <v>24</v>
      </c>
      <c r="H14">
        <v>556</v>
      </c>
      <c r="I14">
        <v>100</v>
      </c>
      <c r="J14">
        <v>50</v>
      </c>
      <c r="K14">
        <v>50</v>
      </c>
      <c r="L14" s="6">
        <v>27800</v>
      </c>
      <c r="P14" s="1">
        <v>45978</v>
      </c>
    </row>
    <row r="15" spans="1:16" x14ac:dyDescent="0.25">
      <c r="A15" t="s">
        <v>12</v>
      </c>
      <c r="B15" t="s">
        <v>21</v>
      </c>
      <c r="C15" t="s">
        <v>22</v>
      </c>
      <c r="D15" t="s">
        <v>19</v>
      </c>
      <c r="E15" t="s">
        <v>52</v>
      </c>
      <c r="F15">
        <v>6</v>
      </c>
      <c r="G15">
        <v>48</v>
      </c>
      <c r="H15">
        <v>367</v>
      </c>
      <c r="I15">
        <v>100</v>
      </c>
      <c r="J15">
        <v>50</v>
      </c>
      <c r="K15">
        <v>50</v>
      </c>
      <c r="L15" s="6">
        <v>18350</v>
      </c>
      <c r="P15" s="1">
        <v>45978</v>
      </c>
    </row>
    <row r="16" spans="1:16" x14ac:dyDescent="0.25">
      <c r="A16" t="s">
        <v>12</v>
      </c>
      <c r="B16" t="s">
        <v>17</v>
      </c>
      <c r="C16" t="s">
        <v>53</v>
      </c>
      <c r="D16" t="s">
        <v>34</v>
      </c>
      <c r="E16" t="s">
        <v>54</v>
      </c>
      <c r="F16">
        <v>2</v>
      </c>
      <c r="G16">
        <v>36</v>
      </c>
      <c r="H16">
        <v>407</v>
      </c>
      <c r="I16">
        <v>100</v>
      </c>
      <c r="J16">
        <v>50</v>
      </c>
      <c r="K16">
        <v>50</v>
      </c>
      <c r="L16" s="6">
        <v>20350</v>
      </c>
      <c r="P16" s="1">
        <v>45978</v>
      </c>
    </row>
    <row r="17" spans="1:16" x14ac:dyDescent="0.25">
      <c r="A17" t="s">
        <v>12</v>
      </c>
      <c r="B17" t="s">
        <v>25</v>
      </c>
      <c r="C17" t="s">
        <v>55</v>
      </c>
      <c r="D17" t="s">
        <v>27</v>
      </c>
      <c r="E17" t="s">
        <v>56</v>
      </c>
      <c r="F17">
        <v>2</v>
      </c>
      <c r="G17">
        <v>36</v>
      </c>
      <c r="H17">
        <v>314</v>
      </c>
      <c r="I17">
        <v>100</v>
      </c>
      <c r="J17">
        <v>50</v>
      </c>
      <c r="K17">
        <v>50</v>
      </c>
      <c r="L17" s="6">
        <v>15700</v>
      </c>
      <c r="P17" s="1">
        <v>45978</v>
      </c>
    </row>
    <row r="18" spans="1:16" x14ac:dyDescent="0.25">
      <c r="A18" t="s">
        <v>12</v>
      </c>
      <c r="B18" t="s">
        <v>57</v>
      </c>
      <c r="C18" t="s">
        <v>58</v>
      </c>
      <c r="D18" t="s">
        <v>23</v>
      </c>
      <c r="E18" t="s">
        <v>59</v>
      </c>
      <c r="F18">
        <v>2</v>
      </c>
      <c r="G18">
        <v>30</v>
      </c>
      <c r="H18">
        <v>452</v>
      </c>
      <c r="I18">
        <v>100</v>
      </c>
      <c r="J18">
        <v>50</v>
      </c>
      <c r="K18">
        <v>50</v>
      </c>
      <c r="L18" s="6">
        <v>22600</v>
      </c>
      <c r="P18" s="1">
        <v>45978</v>
      </c>
    </row>
    <row r="19" spans="1:16" x14ac:dyDescent="0.25">
      <c r="A19" t="s">
        <v>12</v>
      </c>
      <c r="B19" t="s">
        <v>29</v>
      </c>
      <c r="C19" t="s">
        <v>60</v>
      </c>
      <c r="D19" t="s">
        <v>19</v>
      </c>
      <c r="E19" t="s">
        <v>61</v>
      </c>
      <c r="F19">
        <v>3</v>
      </c>
      <c r="G19">
        <v>6</v>
      </c>
      <c r="H19">
        <v>246</v>
      </c>
      <c r="I19">
        <v>100</v>
      </c>
      <c r="J19">
        <v>50</v>
      </c>
      <c r="K19">
        <v>50</v>
      </c>
      <c r="L19" s="6">
        <v>12300</v>
      </c>
      <c r="P19" s="1">
        <v>45978</v>
      </c>
    </row>
    <row r="20" spans="1:16" x14ac:dyDescent="0.25">
      <c r="A20" t="s">
        <v>12</v>
      </c>
      <c r="B20" t="s">
        <v>32</v>
      </c>
      <c r="C20" t="s">
        <v>44</v>
      </c>
      <c r="D20" t="s">
        <v>15</v>
      </c>
      <c r="E20" t="s">
        <v>62</v>
      </c>
      <c r="F20">
        <v>3</v>
      </c>
      <c r="G20">
        <v>30</v>
      </c>
      <c r="H20">
        <v>444</v>
      </c>
      <c r="I20">
        <v>100</v>
      </c>
      <c r="J20">
        <v>50</v>
      </c>
      <c r="K20">
        <v>50</v>
      </c>
      <c r="L20" s="6">
        <v>22200</v>
      </c>
      <c r="P20" s="1">
        <v>45978</v>
      </c>
    </row>
    <row r="21" spans="1:16" x14ac:dyDescent="0.25">
      <c r="A21" t="s">
        <v>12</v>
      </c>
      <c r="B21" t="s">
        <v>13</v>
      </c>
      <c r="C21" t="s">
        <v>63</v>
      </c>
      <c r="D21" t="s">
        <v>23</v>
      </c>
      <c r="E21" t="s">
        <v>64</v>
      </c>
      <c r="F21">
        <v>6</v>
      </c>
      <c r="G21">
        <v>48</v>
      </c>
      <c r="H21">
        <v>425</v>
      </c>
      <c r="I21">
        <v>100</v>
      </c>
      <c r="J21">
        <v>100</v>
      </c>
      <c r="K21">
        <v>0</v>
      </c>
      <c r="L21" s="6">
        <v>42500</v>
      </c>
      <c r="P21" s="1">
        <v>45978</v>
      </c>
    </row>
    <row r="22" spans="1:16" x14ac:dyDescent="0.25">
      <c r="A22" t="s">
        <v>12</v>
      </c>
      <c r="B22" t="s">
        <v>38</v>
      </c>
      <c r="C22" t="s">
        <v>65</v>
      </c>
      <c r="D22" t="s">
        <v>66</v>
      </c>
      <c r="E22" t="s">
        <v>67</v>
      </c>
      <c r="F22">
        <v>2</v>
      </c>
      <c r="G22">
        <v>6</v>
      </c>
      <c r="H22">
        <v>536</v>
      </c>
      <c r="I22">
        <v>50</v>
      </c>
      <c r="J22">
        <v>50</v>
      </c>
      <c r="K22">
        <v>0</v>
      </c>
      <c r="L22" s="6">
        <v>26800</v>
      </c>
      <c r="P22" s="1">
        <v>45978</v>
      </c>
    </row>
    <row r="23" spans="1:16" x14ac:dyDescent="0.25">
      <c r="A23" t="s">
        <v>12</v>
      </c>
      <c r="B23" t="s">
        <v>25</v>
      </c>
      <c r="C23" t="s">
        <v>68</v>
      </c>
      <c r="D23" t="s">
        <v>15</v>
      </c>
      <c r="E23" t="s">
        <v>69</v>
      </c>
      <c r="F23">
        <v>1</v>
      </c>
      <c r="G23">
        <v>18</v>
      </c>
      <c r="H23">
        <v>380</v>
      </c>
      <c r="I23">
        <v>0</v>
      </c>
      <c r="J23">
        <v>0</v>
      </c>
      <c r="K23">
        <v>0</v>
      </c>
      <c r="L23" s="6">
        <v>0</v>
      </c>
      <c r="P23" s="1">
        <v>45978</v>
      </c>
    </row>
    <row r="24" spans="1:16" x14ac:dyDescent="0.25">
      <c r="A24" t="s">
        <v>12</v>
      </c>
      <c r="B24" t="s">
        <v>17</v>
      </c>
      <c r="C24" t="s">
        <v>70</v>
      </c>
      <c r="D24" t="s">
        <v>23</v>
      </c>
      <c r="E24" t="s">
        <v>71</v>
      </c>
      <c r="F24">
        <v>3</v>
      </c>
      <c r="G24">
        <v>48</v>
      </c>
      <c r="H24">
        <v>413</v>
      </c>
      <c r="I24">
        <v>50</v>
      </c>
      <c r="J24">
        <v>50</v>
      </c>
      <c r="K24">
        <v>0</v>
      </c>
      <c r="L24" s="6">
        <v>20650</v>
      </c>
      <c r="P24" s="1">
        <v>45978</v>
      </c>
    </row>
    <row r="25" spans="1:16" x14ac:dyDescent="0.25">
      <c r="A25" t="s">
        <v>12</v>
      </c>
      <c r="B25" t="s">
        <v>21</v>
      </c>
      <c r="C25" t="s">
        <v>72</v>
      </c>
      <c r="D25" t="s">
        <v>27</v>
      </c>
      <c r="E25" t="s">
        <v>73</v>
      </c>
      <c r="F25">
        <v>2</v>
      </c>
      <c r="G25">
        <v>36</v>
      </c>
      <c r="H25">
        <v>106</v>
      </c>
      <c r="I25">
        <v>50</v>
      </c>
      <c r="J25">
        <v>50</v>
      </c>
      <c r="K25">
        <v>0</v>
      </c>
      <c r="L25" s="6">
        <v>5300</v>
      </c>
      <c r="P25" s="1">
        <v>45978</v>
      </c>
    </row>
    <row r="26" spans="1:16" x14ac:dyDescent="0.25">
      <c r="A26" t="s">
        <v>12</v>
      </c>
      <c r="B26" t="s">
        <v>13</v>
      </c>
      <c r="C26" t="s">
        <v>14</v>
      </c>
      <c r="D26" t="s">
        <v>66</v>
      </c>
      <c r="E26" t="s">
        <v>74</v>
      </c>
      <c r="F26">
        <v>6</v>
      </c>
      <c r="G26">
        <v>30</v>
      </c>
      <c r="H26">
        <v>466</v>
      </c>
      <c r="I26">
        <v>0</v>
      </c>
      <c r="J26">
        <v>0</v>
      </c>
      <c r="K26">
        <v>0</v>
      </c>
      <c r="L26" s="6">
        <v>0</v>
      </c>
      <c r="P26" s="1">
        <v>45978</v>
      </c>
    </row>
    <row r="27" spans="1:16" x14ac:dyDescent="0.25">
      <c r="A27" t="s">
        <v>12</v>
      </c>
      <c r="B27" t="s">
        <v>38</v>
      </c>
      <c r="C27" t="s">
        <v>75</v>
      </c>
      <c r="D27" t="s">
        <v>27</v>
      </c>
      <c r="E27" t="s">
        <v>76</v>
      </c>
      <c r="F27">
        <v>6</v>
      </c>
      <c r="G27">
        <v>30</v>
      </c>
      <c r="H27">
        <v>446</v>
      </c>
      <c r="I27">
        <v>50</v>
      </c>
      <c r="J27">
        <v>50</v>
      </c>
      <c r="K27">
        <v>0</v>
      </c>
      <c r="L27" s="6">
        <v>22300</v>
      </c>
      <c r="P27" s="1">
        <v>45978</v>
      </c>
    </row>
    <row r="28" spans="1:16" x14ac:dyDescent="0.25">
      <c r="A28" t="s">
        <v>12</v>
      </c>
      <c r="B28" t="s">
        <v>17</v>
      </c>
      <c r="C28" t="s">
        <v>70</v>
      </c>
      <c r="D28" t="s">
        <v>27</v>
      </c>
      <c r="E28" t="s">
        <v>77</v>
      </c>
      <c r="F28">
        <v>3</v>
      </c>
      <c r="G28">
        <v>48</v>
      </c>
      <c r="H28">
        <v>562</v>
      </c>
      <c r="I28">
        <v>50</v>
      </c>
      <c r="J28">
        <v>50</v>
      </c>
      <c r="K28">
        <v>0</v>
      </c>
      <c r="L28" s="6">
        <v>28100</v>
      </c>
      <c r="P28" s="1">
        <v>45978</v>
      </c>
    </row>
    <row r="29" spans="1:16" x14ac:dyDescent="0.25">
      <c r="A29" t="s">
        <v>12</v>
      </c>
      <c r="B29" t="s">
        <v>21</v>
      </c>
      <c r="C29" t="s">
        <v>78</v>
      </c>
      <c r="D29" t="s">
        <v>15</v>
      </c>
      <c r="E29" t="s">
        <v>79</v>
      </c>
      <c r="F29">
        <v>1</v>
      </c>
      <c r="G29">
        <v>6</v>
      </c>
      <c r="H29">
        <v>231</v>
      </c>
      <c r="I29">
        <v>50</v>
      </c>
      <c r="J29">
        <v>50</v>
      </c>
      <c r="K29">
        <v>0</v>
      </c>
      <c r="L29" s="6">
        <v>11550</v>
      </c>
      <c r="P29" s="1">
        <v>45978</v>
      </c>
    </row>
    <row r="30" spans="1:16" x14ac:dyDescent="0.25">
      <c r="A30" t="s">
        <v>12</v>
      </c>
      <c r="B30" t="s">
        <v>80</v>
      </c>
      <c r="C30" t="s">
        <v>81</v>
      </c>
      <c r="D30" t="s">
        <v>15</v>
      </c>
      <c r="E30" t="s">
        <v>82</v>
      </c>
      <c r="F30">
        <v>6</v>
      </c>
      <c r="G30">
        <v>30</v>
      </c>
      <c r="H30">
        <v>415</v>
      </c>
      <c r="I30">
        <v>0</v>
      </c>
      <c r="J30">
        <v>0</v>
      </c>
      <c r="K30">
        <v>0</v>
      </c>
      <c r="L30" s="6">
        <v>0</v>
      </c>
      <c r="P30" s="1">
        <v>45978</v>
      </c>
    </row>
    <row r="31" spans="1:16" x14ac:dyDescent="0.25">
      <c r="A31" t="s">
        <v>12</v>
      </c>
      <c r="B31" t="s">
        <v>29</v>
      </c>
      <c r="C31" t="s">
        <v>36</v>
      </c>
      <c r="D31" t="s">
        <v>23</v>
      </c>
      <c r="E31" t="s">
        <v>83</v>
      </c>
      <c r="F31">
        <v>2</v>
      </c>
      <c r="G31">
        <v>12</v>
      </c>
      <c r="H31">
        <v>277</v>
      </c>
      <c r="I31">
        <v>50</v>
      </c>
      <c r="J31">
        <v>50</v>
      </c>
      <c r="K31">
        <v>0</v>
      </c>
      <c r="L31" s="6">
        <v>13850</v>
      </c>
      <c r="P31" s="1">
        <v>45978</v>
      </c>
    </row>
    <row r="32" spans="1:16" x14ac:dyDescent="0.25">
      <c r="A32" t="s">
        <v>84</v>
      </c>
      <c r="B32" t="s">
        <v>13</v>
      </c>
      <c r="C32" t="s">
        <v>14</v>
      </c>
      <c r="D32" t="s">
        <v>15</v>
      </c>
      <c r="E32" t="s">
        <v>16</v>
      </c>
      <c r="F32">
        <v>4</v>
      </c>
      <c r="G32">
        <v>24</v>
      </c>
      <c r="H32">
        <v>589</v>
      </c>
      <c r="I32">
        <v>200</v>
      </c>
      <c r="J32">
        <v>200</v>
      </c>
      <c r="K32">
        <v>0</v>
      </c>
      <c r="L32" s="6">
        <v>117800</v>
      </c>
      <c r="P32" s="1">
        <v>45978</v>
      </c>
    </row>
    <row r="33" spans="1:16" x14ac:dyDescent="0.25">
      <c r="A33" t="s">
        <v>84</v>
      </c>
      <c r="B33" t="s">
        <v>17</v>
      </c>
      <c r="C33" t="s">
        <v>18</v>
      </c>
      <c r="D33" t="s">
        <v>19</v>
      </c>
      <c r="E33" t="s">
        <v>20</v>
      </c>
      <c r="F33">
        <v>1</v>
      </c>
      <c r="G33">
        <v>12</v>
      </c>
      <c r="H33">
        <v>467</v>
      </c>
      <c r="I33">
        <v>200</v>
      </c>
      <c r="J33">
        <v>200</v>
      </c>
      <c r="K33">
        <v>0</v>
      </c>
      <c r="L33" s="6">
        <v>93400</v>
      </c>
      <c r="P33" s="1">
        <v>45978</v>
      </c>
    </row>
    <row r="34" spans="1:16" x14ac:dyDescent="0.25">
      <c r="A34" t="s">
        <v>84</v>
      </c>
      <c r="B34" t="s">
        <v>21</v>
      </c>
      <c r="C34" t="s">
        <v>22</v>
      </c>
      <c r="D34" t="s">
        <v>23</v>
      </c>
      <c r="E34" t="s">
        <v>24</v>
      </c>
      <c r="F34">
        <v>3</v>
      </c>
      <c r="G34">
        <v>18</v>
      </c>
      <c r="H34">
        <v>406</v>
      </c>
      <c r="I34">
        <v>200</v>
      </c>
      <c r="J34">
        <v>200</v>
      </c>
      <c r="K34">
        <v>0</v>
      </c>
      <c r="L34" s="6">
        <v>81200</v>
      </c>
      <c r="P34" s="1">
        <v>45978</v>
      </c>
    </row>
    <row r="35" spans="1:16" x14ac:dyDescent="0.25">
      <c r="A35" t="s">
        <v>84</v>
      </c>
      <c r="B35" t="s">
        <v>25</v>
      </c>
      <c r="C35" t="s">
        <v>26</v>
      </c>
      <c r="D35" t="s">
        <v>27</v>
      </c>
      <c r="E35" t="s">
        <v>28</v>
      </c>
      <c r="F35">
        <v>2</v>
      </c>
      <c r="G35">
        <v>24</v>
      </c>
      <c r="H35">
        <v>471</v>
      </c>
      <c r="I35">
        <v>200</v>
      </c>
      <c r="J35">
        <v>200</v>
      </c>
      <c r="K35">
        <v>0</v>
      </c>
      <c r="L35" s="6">
        <v>94200</v>
      </c>
      <c r="P35" s="1">
        <v>45978</v>
      </c>
    </row>
    <row r="36" spans="1:16" x14ac:dyDescent="0.25">
      <c r="A36" t="s">
        <v>84</v>
      </c>
      <c r="B36" t="s">
        <v>29</v>
      </c>
      <c r="C36" t="s">
        <v>30</v>
      </c>
      <c r="D36" t="s">
        <v>19</v>
      </c>
      <c r="E36" t="s">
        <v>31</v>
      </c>
      <c r="F36">
        <v>5</v>
      </c>
      <c r="G36">
        <v>18</v>
      </c>
      <c r="H36">
        <v>527</v>
      </c>
      <c r="I36">
        <v>200</v>
      </c>
      <c r="J36">
        <v>200</v>
      </c>
      <c r="K36">
        <v>0</v>
      </c>
      <c r="L36" s="6">
        <v>105400</v>
      </c>
      <c r="P36" s="1">
        <v>45978</v>
      </c>
    </row>
    <row r="37" spans="1:16" x14ac:dyDescent="0.25">
      <c r="A37" t="s">
        <v>84</v>
      </c>
      <c r="B37" t="s">
        <v>32</v>
      </c>
      <c r="C37" t="s">
        <v>33</v>
      </c>
      <c r="D37" t="s">
        <v>34</v>
      </c>
      <c r="E37" t="s">
        <v>35</v>
      </c>
      <c r="F37">
        <v>1</v>
      </c>
      <c r="G37">
        <v>30</v>
      </c>
      <c r="H37">
        <v>560</v>
      </c>
      <c r="I37">
        <v>200</v>
      </c>
      <c r="J37">
        <v>200</v>
      </c>
      <c r="K37">
        <v>0</v>
      </c>
      <c r="L37" s="6">
        <v>112000</v>
      </c>
      <c r="P37" s="1">
        <v>45978</v>
      </c>
    </row>
    <row r="38" spans="1:16" x14ac:dyDescent="0.25">
      <c r="A38" t="s">
        <v>84</v>
      </c>
      <c r="B38" t="s">
        <v>29</v>
      </c>
      <c r="C38" t="s">
        <v>36</v>
      </c>
      <c r="D38" t="s">
        <v>23</v>
      </c>
      <c r="E38" t="s">
        <v>37</v>
      </c>
      <c r="F38">
        <v>4</v>
      </c>
      <c r="G38">
        <v>12</v>
      </c>
      <c r="H38">
        <v>120</v>
      </c>
      <c r="I38">
        <v>200</v>
      </c>
      <c r="J38">
        <v>200</v>
      </c>
      <c r="K38">
        <v>0</v>
      </c>
      <c r="L38" s="6">
        <v>24000</v>
      </c>
      <c r="P38" s="1">
        <v>45978</v>
      </c>
    </row>
    <row r="39" spans="1:16" x14ac:dyDescent="0.25">
      <c r="A39" t="s">
        <v>84</v>
      </c>
      <c r="B39" t="s">
        <v>38</v>
      </c>
      <c r="C39" t="s">
        <v>39</v>
      </c>
      <c r="D39" t="s">
        <v>23</v>
      </c>
      <c r="E39" t="s">
        <v>40</v>
      </c>
      <c r="F39">
        <v>3</v>
      </c>
      <c r="G39">
        <v>30</v>
      </c>
      <c r="H39">
        <v>187</v>
      </c>
      <c r="I39">
        <v>200</v>
      </c>
      <c r="J39">
        <v>200</v>
      </c>
      <c r="K39">
        <v>0</v>
      </c>
      <c r="L39" s="6">
        <v>37400</v>
      </c>
      <c r="P39" s="1">
        <v>45978</v>
      </c>
    </row>
    <row r="40" spans="1:16" x14ac:dyDescent="0.25">
      <c r="A40" t="s">
        <v>84</v>
      </c>
      <c r="B40" t="s">
        <v>29</v>
      </c>
      <c r="C40" t="s">
        <v>30</v>
      </c>
      <c r="D40" t="s">
        <v>15</v>
      </c>
      <c r="E40" t="s">
        <v>41</v>
      </c>
      <c r="F40">
        <v>3</v>
      </c>
      <c r="G40">
        <v>30</v>
      </c>
      <c r="H40">
        <v>518</v>
      </c>
      <c r="I40">
        <v>200</v>
      </c>
      <c r="J40">
        <v>200</v>
      </c>
      <c r="K40">
        <v>0</v>
      </c>
      <c r="L40" s="6">
        <v>103600</v>
      </c>
      <c r="P40" s="1">
        <v>45978</v>
      </c>
    </row>
    <row r="41" spans="1:16" x14ac:dyDescent="0.25">
      <c r="A41" t="s">
        <v>84</v>
      </c>
      <c r="B41" t="s">
        <v>38</v>
      </c>
      <c r="C41" t="s">
        <v>42</v>
      </c>
      <c r="D41" t="s">
        <v>19</v>
      </c>
      <c r="E41" t="s">
        <v>43</v>
      </c>
      <c r="F41">
        <v>4</v>
      </c>
      <c r="G41">
        <v>6</v>
      </c>
      <c r="H41">
        <v>102</v>
      </c>
      <c r="I41">
        <v>200</v>
      </c>
      <c r="J41">
        <v>200</v>
      </c>
      <c r="K41">
        <v>0</v>
      </c>
      <c r="L41" s="6">
        <v>20400</v>
      </c>
      <c r="P41" s="1">
        <v>45978</v>
      </c>
    </row>
    <row r="42" spans="1:16" x14ac:dyDescent="0.25">
      <c r="A42" t="s">
        <v>84</v>
      </c>
      <c r="B42" t="s">
        <v>32</v>
      </c>
      <c r="C42" t="s">
        <v>44</v>
      </c>
      <c r="D42" t="s">
        <v>15</v>
      </c>
      <c r="E42" t="s">
        <v>45</v>
      </c>
      <c r="F42">
        <v>2</v>
      </c>
      <c r="G42">
        <v>30</v>
      </c>
      <c r="H42">
        <v>143</v>
      </c>
      <c r="I42">
        <v>100</v>
      </c>
      <c r="J42">
        <v>0</v>
      </c>
      <c r="K42">
        <v>100</v>
      </c>
      <c r="L42" s="6">
        <v>0</v>
      </c>
      <c r="P42" s="1">
        <v>45978</v>
      </c>
    </row>
    <row r="43" spans="1:16" x14ac:dyDescent="0.25">
      <c r="A43" t="s">
        <v>84</v>
      </c>
      <c r="B43" t="s">
        <v>17</v>
      </c>
      <c r="C43" t="s">
        <v>46</v>
      </c>
      <c r="D43" t="s">
        <v>47</v>
      </c>
      <c r="E43" t="s">
        <v>48</v>
      </c>
      <c r="F43">
        <v>1</v>
      </c>
      <c r="G43">
        <v>24</v>
      </c>
      <c r="H43">
        <v>456</v>
      </c>
      <c r="I43">
        <v>100</v>
      </c>
      <c r="J43">
        <v>0</v>
      </c>
      <c r="K43">
        <v>100</v>
      </c>
      <c r="L43" s="6">
        <v>0</v>
      </c>
      <c r="P43" s="1">
        <v>45978</v>
      </c>
    </row>
    <row r="44" spans="1:16" x14ac:dyDescent="0.25">
      <c r="A44" t="s">
        <v>84</v>
      </c>
      <c r="B44" t="s">
        <v>49</v>
      </c>
      <c r="C44" t="s">
        <v>50</v>
      </c>
      <c r="D44" t="s">
        <v>27</v>
      </c>
      <c r="E44" t="s">
        <v>51</v>
      </c>
      <c r="F44">
        <v>1</v>
      </c>
      <c r="G44">
        <v>24</v>
      </c>
      <c r="H44">
        <v>556</v>
      </c>
      <c r="I44">
        <v>100</v>
      </c>
      <c r="J44">
        <v>0</v>
      </c>
      <c r="K44">
        <v>100</v>
      </c>
      <c r="L44" s="6">
        <v>0</v>
      </c>
      <c r="P44" s="1">
        <v>45978</v>
      </c>
    </row>
    <row r="45" spans="1:16" x14ac:dyDescent="0.25">
      <c r="A45" t="s">
        <v>84</v>
      </c>
      <c r="B45" t="s">
        <v>21</v>
      </c>
      <c r="C45" t="s">
        <v>22</v>
      </c>
      <c r="D45" t="s">
        <v>19</v>
      </c>
      <c r="E45" t="s">
        <v>52</v>
      </c>
      <c r="F45">
        <v>6</v>
      </c>
      <c r="G45">
        <v>48</v>
      </c>
      <c r="H45">
        <v>367</v>
      </c>
      <c r="I45">
        <v>100</v>
      </c>
      <c r="J45">
        <v>0</v>
      </c>
      <c r="K45">
        <v>100</v>
      </c>
      <c r="L45" s="6">
        <v>0</v>
      </c>
      <c r="P45" s="1">
        <v>45978</v>
      </c>
    </row>
    <row r="46" spans="1:16" x14ac:dyDescent="0.25">
      <c r="A46" t="s">
        <v>84</v>
      </c>
      <c r="B46" t="s">
        <v>17</v>
      </c>
      <c r="C46" t="s">
        <v>53</v>
      </c>
      <c r="D46" t="s">
        <v>34</v>
      </c>
      <c r="E46" t="s">
        <v>54</v>
      </c>
      <c r="F46">
        <v>2</v>
      </c>
      <c r="G46">
        <v>36</v>
      </c>
      <c r="H46">
        <v>407</v>
      </c>
      <c r="I46">
        <v>100</v>
      </c>
      <c r="J46">
        <v>0</v>
      </c>
      <c r="K46">
        <v>100</v>
      </c>
      <c r="L46" s="6">
        <v>0</v>
      </c>
      <c r="P46" s="1">
        <v>45978</v>
      </c>
    </row>
    <row r="47" spans="1:16" x14ac:dyDescent="0.25">
      <c r="A47" t="s">
        <v>84</v>
      </c>
      <c r="B47" t="s">
        <v>25</v>
      </c>
      <c r="C47" t="s">
        <v>55</v>
      </c>
      <c r="D47" t="s">
        <v>27</v>
      </c>
      <c r="E47" t="s">
        <v>56</v>
      </c>
      <c r="F47">
        <v>2</v>
      </c>
      <c r="G47">
        <v>36</v>
      </c>
      <c r="H47">
        <v>314</v>
      </c>
      <c r="I47">
        <v>100</v>
      </c>
      <c r="J47">
        <v>0</v>
      </c>
      <c r="K47">
        <v>100</v>
      </c>
      <c r="L47" s="6">
        <v>0</v>
      </c>
      <c r="P47" s="1">
        <v>45978</v>
      </c>
    </row>
    <row r="48" spans="1:16" x14ac:dyDescent="0.25">
      <c r="A48" t="s">
        <v>84</v>
      </c>
      <c r="B48" t="s">
        <v>57</v>
      </c>
      <c r="C48" t="s">
        <v>58</v>
      </c>
      <c r="D48" t="s">
        <v>23</v>
      </c>
      <c r="E48" t="s">
        <v>59</v>
      </c>
      <c r="F48">
        <v>2</v>
      </c>
      <c r="G48">
        <v>30</v>
      </c>
      <c r="H48">
        <v>452</v>
      </c>
      <c r="I48">
        <v>100</v>
      </c>
      <c r="J48">
        <v>0</v>
      </c>
      <c r="K48">
        <v>100</v>
      </c>
      <c r="L48" s="6">
        <v>0</v>
      </c>
      <c r="P48" s="1">
        <v>45978</v>
      </c>
    </row>
    <row r="49" spans="1:16" x14ac:dyDescent="0.25">
      <c r="A49" t="s">
        <v>84</v>
      </c>
      <c r="B49" t="s">
        <v>29</v>
      </c>
      <c r="C49" t="s">
        <v>60</v>
      </c>
      <c r="D49" t="s">
        <v>19</v>
      </c>
      <c r="E49" t="s">
        <v>61</v>
      </c>
      <c r="F49">
        <v>3</v>
      </c>
      <c r="G49">
        <v>6</v>
      </c>
      <c r="H49">
        <v>246</v>
      </c>
      <c r="I49">
        <v>100</v>
      </c>
      <c r="J49">
        <v>0</v>
      </c>
      <c r="K49">
        <v>100</v>
      </c>
      <c r="L49" s="6">
        <v>0</v>
      </c>
      <c r="P49" s="1">
        <v>45978</v>
      </c>
    </row>
    <row r="50" spans="1:16" x14ac:dyDescent="0.25">
      <c r="A50" t="s">
        <v>84</v>
      </c>
      <c r="B50" t="s">
        <v>32</v>
      </c>
      <c r="C50" t="s">
        <v>44</v>
      </c>
      <c r="D50" t="s">
        <v>15</v>
      </c>
      <c r="E50" t="s">
        <v>62</v>
      </c>
      <c r="F50">
        <v>3</v>
      </c>
      <c r="G50">
        <v>30</v>
      </c>
      <c r="H50">
        <v>444</v>
      </c>
      <c r="I50">
        <v>100</v>
      </c>
      <c r="J50">
        <v>0</v>
      </c>
      <c r="K50">
        <v>100</v>
      </c>
      <c r="L50" s="6">
        <v>0</v>
      </c>
      <c r="P50" s="1">
        <v>45978</v>
      </c>
    </row>
    <row r="51" spans="1:16" x14ac:dyDescent="0.25">
      <c r="A51" t="s">
        <v>84</v>
      </c>
      <c r="B51" t="s">
        <v>13</v>
      </c>
      <c r="C51" t="s">
        <v>63</v>
      </c>
      <c r="D51" t="s">
        <v>23</v>
      </c>
      <c r="E51" t="s">
        <v>64</v>
      </c>
      <c r="F51">
        <v>6</v>
      </c>
      <c r="G51">
        <v>48</v>
      </c>
      <c r="H51">
        <v>425</v>
      </c>
      <c r="I51">
        <v>100</v>
      </c>
      <c r="J51">
        <v>50</v>
      </c>
      <c r="K51">
        <v>50</v>
      </c>
      <c r="L51" s="6">
        <v>21250</v>
      </c>
      <c r="P51" s="1">
        <v>45978</v>
      </c>
    </row>
    <row r="52" spans="1:16" x14ac:dyDescent="0.25">
      <c r="A52" t="s">
        <v>84</v>
      </c>
      <c r="B52" t="s">
        <v>38</v>
      </c>
      <c r="C52" t="s">
        <v>65</v>
      </c>
      <c r="D52" t="s">
        <v>66</v>
      </c>
      <c r="E52" t="s">
        <v>67</v>
      </c>
      <c r="F52">
        <v>2</v>
      </c>
      <c r="G52">
        <v>6</v>
      </c>
      <c r="H52">
        <v>536</v>
      </c>
      <c r="I52">
        <v>50</v>
      </c>
      <c r="J52">
        <v>50</v>
      </c>
      <c r="K52">
        <v>0</v>
      </c>
      <c r="L52" s="6">
        <v>26800</v>
      </c>
      <c r="P52" s="1">
        <v>45978</v>
      </c>
    </row>
    <row r="53" spans="1:16" x14ac:dyDescent="0.25">
      <c r="A53" t="s">
        <v>84</v>
      </c>
      <c r="B53" t="s">
        <v>25</v>
      </c>
      <c r="C53" t="s">
        <v>68</v>
      </c>
      <c r="D53" t="s">
        <v>15</v>
      </c>
      <c r="E53" t="s">
        <v>69</v>
      </c>
      <c r="F53">
        <v>1</v>
      </c>
      <c r="G53">
        <v>18</v>
      </c>
      <c r="H53">
        <v>380</v>
      </c>
      <c r="I53">
        <v>0</v>
      </c>
      <c r="J53">
        <v>0</v>
      </c>
      <c r="K53">
        <v>0</v>
      </c>
      <c r="L53" s="6">
        <v>0</v>
      </c>
      <c r="P53" s="1">
        <v>45978</v>
      </c>
    </row>
    <row r="54" spans="1:16" x14ac:dyDescent="0.25">
      <c r="A54" t="s">
        <v>84</v>
      </c>
      <c r="B54" t="s">
        <v>17</v>
      </c>
      <c r="C54" t="s">
        <v>70</v>
      </c>
      <c r="D54" t="s">
        <v>23</v>
      </c>
      <c r="E54" t="s">
        <v>71</v>
      </c>
      <c r="F54">
        <v>3</v>
      </c>
      <c r="G54">
        <v>48</v>
      </c>
      <c r="H54">
        <v>413</v>
      </c>
      <c r="I54">
        <v>50</v>
      </c>
      <c r="J54">
        <v>50</v>
      </c>
      <c r="K54">
        <v>0</v>
      </c>
      <c r="L54" s="6">
        <v>20650</v>
      </c>
      <c r="P54" s="1">
        <v>45978</v>
      </c>
    </row>
    <row r="55" spans="1:16" x14ac:dyDescent="0.25">
      <c r="A55" t="s">
        <v>84</v>
      </c>
      <c r="B55" t="s">
        <v>21</v>
      </c>
      <c r="C55" t="s">
        <v>72</v>
      </c>
      <c r="D55" t="s">
        <v>27</v>
      </c>
      <c r="E55" t="s">
        <v>73</v>
      </c>
      <c r="F55">
        <v>2</v>
      </c>
      <c r="G55">
        <v>36</v>
      </c>
      <c r="H55">
        <v>106</v>
      </c>
      <c r="I55">
        <v>50</v>
      </c>
      <c r="J55">
        <v>50</v>
      </c>
      <c r="K55">
        <v>0</v>
      </c>
      <c r="L55" s="6">
        <v>5300</v>
      </c>
      <c r="P55" s="1">
        <v>45978</v>
      </c>
    </row>
    <row r="56" spans="1:16" x14ac:dyDescent="0.25">
      <c r="A56" t="s">
        <v>84</v>
      </c>
      <c r="B56" t="s">
        <v>13</v>
      </c>
      <c r="C56" t="s">
        <v>14</v>
      </c>
      <c r="D56" t="s">
        <v>66</v>
      </c>
      <c r="E56" t="s">
        <v>74</v>
      </c>
      <c r="F56">
        <v>6</v>
      </c>
      <c r="G56">
        <v>30</v>
      </c>
      <c r="H56">
        <v>466</v>
      </c>
      <c r="I56">
        <v>0</v>
      </c>
      <c r="J56">
        <v>0</v>
      </c>
      <c r="K56">
        <v>0</v>
      </c>
      <c r="L56" s="6">
        <v>0</v>
      </c>
      <c r="P56" s="1">
        <v>45978</v>
      </c>
    </row>
    <row r="57" spans="1:16" x14ac:dyDescent="0.25">
      <c r="A57" t="s">
        <v>84</v>
      </c>
      <c r="B57" t="s">
        <v>38</v>
      </c>
      <c r="C57" t="s">
        <v>75</v>
      </c>
      <c r="D57" t="s">
        <v>27</v>
      </c>
      <c r="E57" t="s">
        <v>76</v>
      </c>
      <c r="F57">
        <v>6</v>
      </c>
      <c r="G57">
        <v>30</v>
      </c>
      <c r="H57">
        <v>446</v>
      </c>
      <c r="I57">
        <v>50</v>
      </c>
      <c r="J57">
        <v>50</v>
      </c>
      <c r="K57">
        <v>0</v>
      </c>
      <c r="L57" s="6">
        <v>22300</v>
      </c>
      <c r="P57" s="1">
        <v>45978</v>
      </c>
    </row>
    <row r="58" spans="1:16" x14ac:dyDescent="0.25">
      <c r="A58" t="s">
        <v>84</v>
      </c>
      <c r="B58" t="s">
        <v>17</v>
      </c>
      <c r="C58" t="s">
        <v>70</v>
      </c>
      <c r="D58" t="s">
        <v>27</v>
      </c>
      <c r="E58" t="s">
        <v>77</v>
      </c>
      <c r="F58">
        <v>3</v>
      </c>
      <c r="G58">
        <v>48</v>
      </c>
      <c r="H58">
        <v>562</v>
      </c>
      <c r="I58">
        <v>50</v>
      </c>
      <c r="J58">
        <v>50</v>
      </c>
      <c r="K58">
        <v>0</v>
      </c>
      <c r="L58" s="6">
        <v>28100</v>
      </c>
      <c r="P58" s="1">
        <v>45978</v>
      </c>
    </row>
    <row r="59" spans="1:16" x14ac:dyDescent="0.25">
      <c r="A59" t="s">
        <v>84</v>
      </c>
      <c r="B59" t="s">
        <v>21</v>
      </c>
      <c r="C59" t="s">
        <v>78</v>
      </c>
      <c r="D59" t="s">
        <v>15</v>
      </c>
      <c r="E59" t="s">
        <v>79</v>
      </c>
      <c r="F59">
        <v>1</v>
      </c>
      <c r="G59">
        <v>6</v>
      </c>
      <c r="H59">
        <v>231</v>
      </c>
      <c r="I59">
        <v>50</v>
      </c>
      <c r="J59">
        <v>50</v>
      </c>
      <c r="K59">
        <v>0</v>
      </c>
      <c r="L59" s="6">
        <v>11550</v>
      </c>
      <c r="P59" s="1">
        <v>45978</v>
      </c>
    </row>
    <row r="60" spans="1:16" x14ac:dyDescent="0.25">
      <c r="A60" t="s">
        <v>84</v>
      </c>
      <c r="B60" t="s">
        <v>80</v>
      </c>
      <c r="C60" t="s">
        <v>81</v>
      </c>
      <c r="D60" t="s">
        <v>15</v>
      </c>
      <c r="E60" t="s">
        <v>82</v>
      </c>
      <c r="F60">
        <v>6</v>
      </c>
      <c r="G60">
        <v>30</v>
      </c>
      <c r="H60">
        <v>415</v>
      </c>
      <c r="I60">
        <v>0</v>
      </c>
      <c r="J60">
        <v>0</v>
      </c>
      <c r="K60">
        <v>0</v>
      </c>
      <c r="L60" s="6">
        <v>0</v>
      </c>
      <c r="P60" s="1">
        <v>45978</v>
      </c>
    </row>
    <row r="61" spans="1:16" x14ac:dyDescent="0.25">
      <c r="A61" t="s">
        <v>84</v>
      </c>
      <c r="B61" t="s">
        <v>29</v>
      </c>
      <c r="C61" t="s">
        <v>36</v>
      </c>
      <c r="D61" t="s">
        <v>23</v>
      </c>
      <c r="E61" t="s">
        <v>83</v>
      </c>
      <c r="F61">
        <v>2</v>
      </c>
      <c r="G61">
        <v>12</v>
      </c>
      <c r="H61">
        <v>277</v>
      </c>
      <c r="I61">
        <v>50</v>
      </c>
      <c r="J61">
        <v>50</v>
      </c>
      <c r="K61">
        <v>0</v>
      </c>
      <c r="L61" s="6">
        <v>13850</v>
      </c>
      <c r="P61" s="1">
        <v>45978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workbookViewId="0">
      <selection activeCell="E19" sqref="E19"/>
    </sheetView>
  </sheetViews>
  <sheetFormatPr defaultRowHeight="15" x14ac:dyDescent="0.25"/>
  <cols>
    <col min="1" max="1" width="9.85546875" style="2" bestFit="1" customWidth="1"/>
    <col min="2" max="2" width="9.140625" style="2"/>
    <col min="3" max="3" width="20" style="2" bestFit="1" customWidth="1"/>
    <col min="4" max="9" width="9.140625" style="2"/>
    <col min="10" max="10" width="9.140625" style="8"/>
    <col min="11" max="11" width="10.42578125" style="10" bestFit="1" customWidth="1"/>
    <col min="12" max="13" width="9.140625" style="8"/>
    <col min="14" max="15" width="9.140625" style="10"/>
    <col min="16" max="16" width="9.140625" style="8"/>
    <col min="17" max="22" width="9.140625" style="2"/>
    <col min="23" max="23" width="9.140625" style="11"/>
    <col min="24" max="25" width="9.140625" style="2"/>
    <col min="26" max="26" width="9.140625" style="11"/>
    <col min="27" max="27" width="13.42578125" style="2" bestFit="1" customWidth="1"/>
    <col min="28" max="28" width="12.42578125" style="2" bestFit="1" customWidth="1"/>
    <col min="29" max="29" width="9.5703125" style="2" bestFit="1" customWidth="1"/>
    <col min="30" max="30" width="16.140625" style="2" bestFit="1" customWidth="1"/>
    <col min="31" max="16384" width="9.140625" style="2"/>
  </cols>
  <sheetData>
    <row r="1" spans="1:35" x14ac:dyDescent="0.25">
      <c r="A1" s="2" t="s">
        <v>85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8" t="s">
        <v>95</v>
      </c>
      <c r="K1" s="10" t="s">
        <v>96</v>
      </c>
      <c r="L1" s="8" t="s">
        <v>97</v>
      </c>
      <c r="M1" s="8" t="s">
        <v>98</v>
      </c>
      <c r="N1" s="10" t="s">
        <v>99</v>
      </c>
      <c r="O1" s="10" t="s">
        <v>100</v>
      </c>
      <c r="P1" s="8" t="s">
        <v>101</v>
      </c>
      <c r="Q1" s="2" t="s">
        <v>102</v>
      </c>
      <c r="R1" s="2" t="s">
        <v>103</v>
      </c>
      <c r="S1" s="2" t="s">
        <v>104</v>
      </c>
      <c r="T1" s="2" t="s">
        <v>105</v>
      </c>
      <c r="U1" s="2" t="s">
        <v>106</v>
      </c>
      <c r="V1" s="2" t="s">
        <v>107</v>
      </c>
      <c r="W1" s="11" t="s">
        <v>185</v>
      </c>
      <c r="X1" s="2" t="s">
        <v>110</v>
      </c>
      <c r="Y1" s="2" t="s">
        <v>211</v>
      </c>
      <c r="Z1" s="11" t="s">
        <v>111</v>
      </c>
      <c r="AA1" s="2" t="s">
        <v>212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</row>
    <row r="2" spans="1:35" x14ac:dyDescent="0.25">
      <c r="A2" s="2" t="s">
        <v>122</v>
      </c>
      <c r="B2" s="2" t="s">
        <v>123</v>
      </c>
      <c r="C2" s="2" t="s">
        <v>124</v>
      </c>
      <c r="D2" s="2" t="s">
        <v>125</v>
      </c>
      <c r="E2" s="2" t="s">
        <v>126</v>
      </c>
      <c r="F2" s="2" t="s">
        <v>127</v>
      </c>
      <c r="G2" s="2" t="s">
        <v>128</v>
      </c>
      <c r="H2" s="2" t="s">
        <v>129</v>
      </c>
      <c r="I2" s="2" t="s">
        <v>130</v>
      </c>
      <c r="J2" s="8" t="s">
        <v>131</v>
      </c>
      <c r="K2" s="10" t="s">
        <v>132</v>
      </c>
      <c r="L2" s="8" t="s">
        <v>133</v>
      </c>
      <c r="M2" s="8" t="s">
        <v>133</v>
      </c>
      <c r="N2" s="10" t="s">
        <v>134</v>
      </c>
      <c r="O2" s="10" t="s">
        <v>133</v>
      </c>
      <c r="P2" s="8" t="s">
        <v>135</v>
      </c>
      <c r="Q2" s="2" t="s">
        <v>136</v>
      </c>
      <c r="R2" s="2" t="s">
        <v>137</v>
      </c>
      <c r="S2" s="2">
        <v>150</v>
      </c>
      <c r="T2" s="2">
        <v>100</v>
      </c>
      <c r="U2" s="2">
        <v>1</v>
      </c>
      <c r="V2" s="2">
        <v>2</v>
      </c>
      <c r="W2" s="11" t="s">
        <v>139</v>
      </c>
      <c r="X2" s="2" t="s">
        <v>140</v>
      </c>
      <c r="Y2" s="2">
        <f>Z2-W2</f>
        <v>3557.6399999999994</v>
      </c>
      <c r="Z2" s="11" t="s">
        <v>141</v>
      </c>
      <c r="AA2" s="2" t="s">
        <v>213</v>
      </c>
      <c r="AB2" s="2" t="s">
        <v>144</v>
      </c>
      <c r="AC2" s="2" t="s">
        <v>145</v>
      </c>
      <c r="AD2" s="2" t="s">
        <v>146</v>
      </c>
      <c r="AE2" s="2" t="s">
        <v>147</v>
      </c>
      <c r="AF2" s="2">
        <v>6</v>
      </c>
      <c r="AG2" s="2">
        <v>6</v>
      </c>
      <c r="AH2" s="2" t="s">
        <v>140</v>
      </c>
      <c r="AI2" s="2" t="s">
        <v>148</v>
      </c>
    </row>
    <row r="3" spans="1:35" x14ac:dyDescent="0.25">
      <c r="A3" s="2" t="s">
        <v>122</v>
      </c>
      <c r="B3" s="2" t="s">
        <v>123</v>
      </c>
      <c r="C3" s="2" t="s">
        <v>149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129</v>
      </c>
      <c r="I3" s="2" t="s">
        <v>130</v>
      </c>
      <c r="J3" s="8" t="s">
        <v>131</v>
      </c>
      <c r="K3" s="10" t="s">
        <v>132</v>
      </c>
      <c r="L3" s="8" t="s">
        <v>133</v>
      </c>
      <c r="M3" s="8" t="s">
        <v>133</v>
      </c>
      <c r="N3" s="10" t="s">
        <v>134</v>
      </c>
      <c r="O3" s="10" t="s">
        <v>133</v>
      </c>
      <c r="P3" s="8" t="s">
        <v>135</v>
      </c>
      <c r="Q3" s="2" t="s">
        <v>136</v>
      </c>
      <c r="R3" s="2" t="s">
        <v>137</v>
      </c>
      <c r="S3" s="2">
        <v>150</v>
      </c>
      <c r="T3" s="2">
        <v>50</v>
      </c>
      <c r="U3" s="2">
        <v>3</v>
      </c>
      <c r="V3" s="2">
        <v>4</v>
      </c>
      <c r="W3" s="11" t="s">
        <v>150</v>
      </c>
      <c r="X3" s="2" t="s">
        <v>140</v>
      </c>
      <c r="Y3" s="2">
        <f>Z3-W3</f>
        <v>1778.8199999999997</v>
      </c>
      <c r="Z3" s="11" t="s">
        <v>151</v>
      </c>
      <c r="AA3" s="2" t="s">
        <v>214</v>
      </c>
      <c r="AB3" s="2" t="s">
        <v>144</v>
      </c>
      <c r="AC3" s="2" t="s">
        <v>145</v>
      </c>
      <c r="AD3" s="2" t="s">
        <v>146</v>
      </c>
      <c r="AE3" s="2" t="s">
        <v>147</v>
      </c>
      <c r="AF3" s="2">
        <v>6</v>
      </c>
      <c r="AG3" s="2">
        <v>6</v>
      </c>
      <c r="AH3" s="2" t="s">
        <v>140</v>
      </c>
      <c r="AI3" s="2" t="s">
        <v>148</v>
      </c>
    </row>
    <row r="5" spans="1:35" x14ac:dyDescent="0.25">
      <c r="U5" s="2">
        <f>29647*112%</f>
        <v>33204.640000000007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tabSelected="1" workbookViewId="0">
      <selection activeCell="H8" sqref="H8"/>
    </sheetView>
  </sheetViews>
  <sheetFormatPr defaultRowHeight="15" x14ac:dyDescent="0.25"/>
  <cols>
    <col min="1" max="1" width="9.85546875" style="2" bestFit="1" customWidth="1"/>
    <col min="2" max="2" width="21.5703125" style="2" bestFit="1" customWidth="1"/>
    <col min="3" max="3" width="9.140625" style="2"/>
    <col min="4" max="4" width="20" style="2" bestFit="1" customWidth="1"/>
    <col min="5" max="9" width="9.140625" style="2"/>
    <col min="10" max="10" width="10.140625" style="2" bestFit="1" customWidth="1"/>
    <col min="11" max="13" width="9.140625" style="11"/>
    <col min="14" max="17" width="9.140625" style="2"/>
    <col min="18" max="18" width="9.140625" style="11"/>
    <col min="19" max="20" width="9.140625" style="2"/>
    <col min="21" max="21" width="9.140625" style="11"/>
    <col min="22" max="22" width="16.42578125" style="11" bestFit="1" customWidth="1"/>
    <col min="23" max="23" width="12.42578125" style="9" bestFit="1" customWidth="1"/>
    <col min="24" max="25" width="9.140625" style="9"/>
    <col min="26" max="26" width="11.85546875" style="9" bestFit="1" customWidth="1"/>
    <col min="27" max="27" width="9.140625" style="9"/>
    <col min="28" max="16384" width="9.140625" style="2"/>
  </cols>
  <sheetData>
    <row r="1" spans="1:27" x14ac:dyDescent="0.25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215</v>
      </c>
      <c r="K1" s="11" t="s">
        <v>217</v>
      </c>
      <c r="L1" s="11" t="s">
        <v>1</v>
      </c>
      <c r="M1" s="11" t="s">
        <v>216</v>
      </c>
      <c r="N1" s="2" t="s">
        <v>103</v>
      </c>
      <c r="O1" s="2" t="s">
        <v>104</v>
      </c>
      <c r="P1" s="2" t="s">
        <v>105</v>
      </c>
      <c r="Q1" s="2" t="s">
        <v>108</v>
      </c>
      <c r="R1" s="11" t="s">
        <v>222</v>
      </c>
      <c r="S1" s="2" t="s">
        <v>110</v>
      </c>
      <c r="T1" s="2" t="s">
        <v>221</v>
      </c>
      <c r="U1" s="11" t="s">
        <v>223</v>
      </c>
      <c r="V1" s="11" t="s">
        <v>220</v>
      </c>
      <c r="W1" s="9" t="s">
        <v>218</v>
      </c>
      <c r="X1" s="9" t="s">
        <v>109</v>
      </c>
      <c r="Y1" s="9" t="s">
        <v>219</v>
      </c>
      <c r="Z1" s="9" t="s">
        <v>186</v>
      </c>
      <c r="AA1" s="9" t="s">
        <v>111</v>
      </c>
    </row>
    <row r="2" spans="1:27" x14ac:dyDescent="0.25">
      <c r="A2" s="2" t="s">
        <v>122</v>
      </c>
      <c r="B2" s="2" t="s">
        <v>84</v>
      </c>
      <c r="C2" s="2" t="s">
        <v>123</v>
      </c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45</v>
      </c>
      <c r="N2" s="2" t="s">
        <v>137</v>
      </c>
      <c r="O2" s="2">
        <v>150</v>
      </c>
      <c r="P2" s="2">
        <v>100</v>
      </c>
      <c r="Q2" s="2" t="s">
        <v>138</v>
      </c>
      <c r="R2" s="11" t="s">
        <v>139</v>
      </c>
      <c r="S2" s="2" t="s">
        <v>140</v>
      </c>
      <c r="U2" s="11" t="s">
        <v>141</v>
      </c>
    </row>
    <row r="3" spans="1:27" x14ac:dyDescent="0.25">
      <c r="A3" s="2" t="s">
        <v>122</v>
      </c>
      <c r="B3" s="2" t="s">
        <v>12</v>
      </c>
      <c r="C3" s="2" t="s">
        <v>123</v>
      </c>
      <c r="D3" s="2" t="s">
        <v>149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45</v>
      </c>
      <c r="N3" s="2" t="s">
        <v>137</v>
      </c>
      <c r="O3" s="2">
        <v>150</v>
      </c>
      <c r="P3" s="2">
        <v>50</v>
      </c>
      <c r="Q3" s="2" t="s">
        <v>138</v>
      </c>
      <c r="R3" s="11" t="s">
        <v>150</v>
      </c>
      <c r="S3" s="2" t="s">
        <v>140</v>
      </c>
      <c r="U3" s="11" t="s">
        <v>151</v>
      </c>
    </row>
    <row r="4" spans="1:27" x14ac:dyDescent="0.25">
      <c r="A4" s="2" t="s">
        <v>122</v>
      </c>
      <c r="B4" s="2" t="s">
        <v>84</v>
      </c>
      <c r="C4" s="2" t="s">
        <v>123</v>
      </c>
      <c r="D4" s="2" t="s">
        <v>124</v>
      </c>
      <c r="E4" s="2" t="s">
        <v>125</v>
      </c>
      <c r="F4" s="2" t="s">
        <v>126</v>
      </c>
      <c r="G4" s="2" t="s">
        <v>127</v>
      </c>
      <c r="H4" s="2" t="s">
        <v>128</v>
      </c>
      <c r="I4" s="2" t="s">
        <v>129</v>
      </c>
      <c r="J4" s="2" t="s">
        <v>48</v>
      </c>
      <c r="N4" s="2" t="s">
        <v>137</v>
      </c>
      <c r="O4" s="2">
        <v>150</v>
      </c>
      <c r="P4" s="2">
        <v>100</v>
      </c>
      <c r="Q4" s="2" t="s">
        <v>138</v>
      </c>
      <c r="R4" s="11" t="s">
        <v>139</v>
      </c>
      <c r="S4" s="2" t="s">
        <v>152</v>
      </c>
      <c r="U4" s="11" t="s">
        <v>153</v>
      </c>
    </row>
    <row r="5" spans="1:27" x14ac:dyDescent="0.25">
      <c r="A5" s="2" t="s">
        <v>122</v>
      </c>
      <c r="B5" s="2" t="s">
        <v>12</v>
      </c>
      <c r="C5" s="2" t="s">
        <v>123</v>
      </c>
      <c r="D5" s="2" t="s">
        <v>149</v>
      </c>
      <c r="E5" s="2" t="s">
        <v>125</v>
      </c>
      <c r="F5" s="2" t="s">
        <v>126</v>
      </c>
      <c r="G5" s="2" t="s">
        <v>127</v>
      </c>
      <c r="H5" s="2" t="s">
        <v>128</v>
      </c>
      <c r="I5" s="2" t="s">
        <v>129</v>
      </c>
      <c r="J5" s="2" t="s">
        <v>48</v>
      </c>
      <c r="N5" s="2" t="s">
        <v>137</v>
      </c>
      <c r="O5" s="2">
        <v>150</v>
      </c>
      <c r="P5" s="2">
        <v>50</v>
      </c>
      <c r="Q5" s="2" t="s">
        <v>138</v>
      </c>
      <c r="R5" s="11" t="s">
        <v>150</v>
      </c>
      <c r="S5" s="2" t="s">
        <v>152</v>
      </c>
      <c r="U5" s="11" t="s">
        <v>154</v>
      </c>
    </row>
    <row r="6" spans="1:27" x14ac:dyDescent="0.25">
      <c r="A6" s="2" t="s">
        <v>122</v>
      </c>
      <c r="B6" s="2" t="s">
        <v>84</v>
      </c>
      <c r="C6" s="2" t="s">
        <v>123</v>
      </c>
      <c r="D6" s="2" t="s">
        <v>124</v>
      </c>
      <c r="E6" s="2" t="s">
        <v>125</v>
      </c>
      <c r="F6" s="2" t="s">
        <v>126</v>
      </c>
      <c r="G6" s="2" t="s">
        <v>127</v>
      </c>
      <c r="H6" s="2" t="s">
        <v>128</v>
      </c>
      <c r="I6" s="2" t="s">
        <v>129</v>
      </c>
      <c r="J6" s="2" t="s">
        <v>51</v>
      </c>
      <c r="N6" s="2" t="s">
        <v>155</v>
      </c>
      <c r="O6" s="2">
        <v>150</v>
      </c>
      <c r="P6" s="2">
        <v>100</v>
      </c>
      <c r="Q6" s="2" t="s">
        <v>156</v>
      </c>
      <c r="R6" s="11" t="s">
        <v>157</v>
      </c>
      <c r="S6" s="2" t="s">
        <v>152</v>
      </c>
      <c r="U6" s="11" t="s">
        <v>158</v>
      </c>
    </row>
    <row r="7" spans="1:27" x14ac:dyDescent="0.25">
      <c r="A7" s="2" t="s">
        <v>122</v>
      </c>
      <c r="B7" s="2" t="s">
        <v>12</v>
      </c>
      <c r="C7" s="2" t="s">
        <v>123</v>
      </c>
      <c r="D7" s="2" t="s">
        <v>149</v>
      </c>
      <c r="E7" s="2" t="s">
        <v>125</v>
      </c>
      <c r="F7" s="2" t="s">
        <v>126</v>
      </c>
      <c r="G7" s="2" t="s">
        <v>127</v>
      </c>
      <c r="H7" s="2" t="s">
        <v>128</v>
      </c>
      <c r="I7" s="2" t="s">
        <v>129</v>
      </c>
      <c r="J7" s="2" t="s">
        <v>51</v>
      </c>
      <c r="N7" s="2" t="s">
        <v>155</v>
      </c>
      <c r="O7" s="2">
        <v>150</v>
      </c>
      <c r="P7" s="2">
        <v>50</v>
      </c>
      <c r="Q7" s="2" t="s">
        <v>156</v>
      </c>
      <c r="R7" s="11" t="s">
        <v>159</v>
      </c>
      <c r="S7" s="2" t="s">
        <v>152</v>
      </c>
      <c r="U7" s="11" t="s">
        <v>160</v>
      </c>
    </row>
    <row r="8" spans="1:27" x14ac:dyDescent="0.25">
      <c r="A8" s="2" t="s">
        <v>122</v>
      </c>
      <c r="B8" s="2" t="s">
        <v>84</v>
      </c>
      <c r="C8" s="2" t="s">
        <v>123</v>
      </c>
      <c r="D8" s="2" t="s">
        <v>124</v>
      </c>
      <c r="E8" s="2" t="s">
        <v>125</v>
      </c>
      <c r="F8" s="2" t="s">
        <v>126</v>
      </c>
      <c r="G8" s="2" t="s">
        <v>127</v>
      </c>
      <c r="H8" s="2" t="s">
        <v>128</v>
      </c>
      <c r="I8" s="2" t="s">
        <v>129</v>
      </c>
      <c r="J8" s="2" t="s">
        <v>52</v>
      </c>
      <c r="N8" s="2" t="s">
        <v>137</v>
      </c>
      <c r="O8" s="2">
        <v>150</v>
      </c>
      <c r="P8" s="2">
        <v>100</v>
      </c>
      <c r="Q8" s="2" t="s">
        <v>161</v>
      </c>
      <c r="R8" s="11" t="s">
        <v>162</v>
      </c>
      <c r="S8" s="2" t="s">
        <v>152</v>
      </c>
      <c r="U8" s="11" t="s">
        <v>163</v>
      </c>
    </row>
    <row r="9" spans="1:27" x14ac:dyDescent="0.25">
      <c r="A9" s="2" t="s">
        <v>122</v>
      </c>
      <c r="B9" s="2" t="s">
        <v>12</v>
      </c>
      <c r="C9" s="2" t="s">
        <v>123</v>
      </c>
      <c r="D9" s="2" t="s">
        <v>149</v>
      </c>
      <c r="E9" s="2" t="s">
        <v>125</v>
      </c>
      <c r="F9" s="2" t="s">
        <v>126</v>
      </c>
      <c r="G9" s="2" t="s">
        <v>127</v>
      </c>
      <c r="H9" s="2" t="s">
        <v>128</v>
      </c>
      <c r="I9" s="2" t="s">
        <v>129</v>
      </c>
      <c r="J9" s="2" t="s">
        <v>52</v>
      </c>
      <c r="N9" s="2" t="s">
        <v>137</v>
      </c>
      <c r="O9" s="2">
        <v>150</v>
      </c>
      <c r="P9" s="2">
        <v>50</v>
      </c>
      <c r="Q9" s="2" t="s">
        <v>161</v>
      </c>
      <c r="R9" s="11" t="s">
        <v>164</v>
      </c>
      <c r="S9" s="2" t="s">
        <v>152</v>
      </c>
      <c r="U9" s="11" t="s">
        <v>165</v>
      </c>
    </row>
    <row r="10" spans="1:27" x14ac:dyDescent="0.25">
      <c r="A10" s="2" t="s">
        <v>122</v>
      </c>
      <c r="B10" s="2" t="s">
        <v>84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127</v>
      </c>
      <c r="H10" s="2" t="s">
        <v>128</v>
      </c>
      <c r="I10" s="2" t="s">
        <v>129</v>
      </c>
      <c r="J10" s="2" t="s">
        <v>54</v>
      </c>
      <c r="N10" s="2" t="s">
        <v>166</v>
      </c>
      <c r="O10" s="2">
        <v>150</v>
      </c>
      <c r="P10" s="2">
        <v>100</v>
      </c>
      <c r="Q10" s="2" t="s">
        <v>138</v>
      </c>
      <c r="R10" s="11" t="s">
        <v>139</v>
      </c>
      <c r="S10" s="2" t="s">
        <v>152</v>
      </c>
      <c r="U10" s="11" t="s">
        <v>153</v>
      </c>
    </row>
    <row r="11" spans="1:27" x14ac:dyDescent="0.25">
      <c r="A11" s="2" t="s">
        <v>122</v>
      </c>
      <c r="B11" s="2" t="s">
        <v>12</v>
      </c>
      <c r="C11" s="2" t="s">
        <v>123</v>
      </c>
      <c r="D11" s="2" t="s">
        <v>149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129</v>
      </c>
      <c r="J11" s="2" t="s">
        <v>54</v>
      </c>
      <c r="N11" s="2" t="s">
        <v>166</v>
      </c>
      <c r="O11" s="2">
        <v>150</v>
      </c>
      <c r="P11" s="2">
        <v>50</v>
      </c>
      <c r="Q11" s="2" t="s">
        <v>138</v>
      </c>
      <c r="R11" s="11" t="s">
        <v>150</v>
      </c>
      <c r="S11" s="2" t="s">
        <v>152</v>
      </c>
      <c r="U11" s="11" t="s">
        <v>154</v>
      </c>
    </row>
    <row r="12" spans="1:27" x14ac:dyDescent="0.25">
      <c r="A12" s="2" t="s">
        <v>122</v>
      </c>
      <c r="B12" s="2" t="s">
        <v>84</v>
      </c>
      <c r="C12" s="2" t="s">
        <v>123</v>
      </c>
      <c r="D12" s="2" t="s">
        <v>124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56</v>
      </c>
      <c r="N12" s="2" t="s">
        <v>137</v>
      </c>
      <c r="O12" s="2">
        <v>150</v>
      </c>
      <c r="P12" s="2">
        <v>100</v>
      </c>
      <c r="Q12" s="2" t="s">
        <v>156</v>
      </c>
      <c r="R12" s="11" t="s">
        <v>157</v>
      </c>
      <c r="S12" s="2" t="s">
        <v>152</v>
      </c>
      <c r="U12" s="11" t="s">
        <v>158</v>
      </c>
    </row>
    <row r="13" spans="1:27" x14ac:dyDescent="0.25">
      <c r="A13" s="2" t="s">
        <v>122</v>
      </c>
      <c r="B13" s="2" t="s">
        <v>12</v>
      </c>
      <c r="C13" s="2" t="s">
        <v>123</v>
      </c>
      <c r="D13" s="2" t="s">
        <v>149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56</v>
      </c>
      <c r="N13" s="2" t="s">
        <v>137</v>
      </c>
      <c r="O13" s="2">
        <v>150</v>
      </c>
      <c r="P13" s="2">
        <v>50</v>
      </c>
      <c r="Q13" s="2" t="s">
        <v>156</v>
      </c>
      <c r="R13" s="11" t="s">
        <v>159</v>
      </c>
      <c r="S13" s="2" t="s">
        <v>152</v>
      </c>
      <c r="U13" s="11" t="s">
        <v>160</v>
      </c>
    </row>
    <row r="14" spans="1:27" x14ac:dyDescent="0.25">
      <c r="A14" s="2" t="s">
        <v>122</v>
      </c>
      <c r="B14" s="2" t="s">
        <v>84</v>
      </c>
      <c r="C14" s="2" t="s">
        <v>123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129</v>
      </c>
      <c r="J14" s="2" t="s">
        <v>59</v>
      </c>
      <c r="N14" s="2" t="s">
        <v>167</v>
      </c>
      <c r="O14" s="2">
        <v>150</v>
      </c>
      <c r="P14" s="2">
        <v>100</v>
      </c>
      <c r="Q14" s="2" t="s">
        <v>168</v>
      </c>
      <c r="R14" s="11" t="s">
        <v>169</v>
      </c>
      <c r="S14" s="2" t="s">
        <v>152</v>
      </c>
      <c r="U14" s="11" t="s">
        <v>170</v>
      </c>
    </row>
    <row r="15" spans="1:27" x14ac:dyDescent="0.25">
      <c r="A15" s="2" t="s">
        <v>122</v>
      </c>
      <c r="B15" s="2" t="s">
        <v>12</v>
      </c>
      <c r="C15" s="2" t="s">
        <v>123</v>
      </c>
      <c r="D15" s="2" t="s">
        <v>149</v>
      </c>
      <c r="E15" s="2" t="s">
        <v>125</v>
      </c>
      <c r="F15" s="2" t="s">
        <v>126</v>
      </c>
      <c r="G15" s="2" t="s">
        <v>127</v>
      </c>
      <c r="H15" s="2" t="s">
        <v>128</v>
      </c>
      <c r="I15" s="2" t="s">
        <v>129</v>
      </c>
      <c r="J15" s="2" t="s">
        <v>59</v>
      </c>
      <c r="N15" s="2" t="s">
        <v>167</v>
      </c>
      <c r="O15" s="2">
        <v>150</v>
      </c>
      <c r="P15" s="2">
        <v>50</v>
      </c>
      <c r="Q15" s="2" t="s">
        <v>168</v>
      </c>
      <c r="R15" s="11" t="s">
        <v>171</v>
      </c>
      <c r="S15" s="2" t="s">
        <v>152</v>
      </c>
      <c r="U15" s="11" t="s">
        <v>172</v>
      </c>
    </row>
    <row r="16" spans="1:27" x14ac:dyDescent="0.25">
      <c r="A16" s="2" t="s">
        <v>122</v>
      </c>
      <c r="B16" s="2" t="s">
        <v>84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127</v>
      </c>
      <c r="H16" s="2" t="s">
        <v>128</v>
      </c>
      <c r="I16" s="2" t="s">
        <v>129</v>
      </c>
      <c r="J16" s="2" t="s">
        <v>61</v>
      </c>
      <c r="N16" s="2" t="s">
        <v>155</v>
      </c>
      <c r="O16" s="2">
        <v>150</v>
      </c>
      <c r="P16" s="2">
        <v>100</v>
      </c>
      <c r="Q16" s="2" t="s">
        <v>168</v>
      </c>
      <c r="R16" s="11" t="s">
        <v>169</v>
      </c>
      <c r="S16" s="2" t="s">
        <v>140</v>
      </c>
      <c r="U16" s="11" t="s">
        <v>173</v>
      </c>
    </row>
    <row r="17" spans="1:21" x14ac:dyDescent="0.25">
      <c r="A17" s="2" t="s">
        <v>122</v>
      </c>
      <c r="B17" s="2" t="s">
        <v>12</v>
      </c>
      <c r="C17" s="2" t="s">
        <v>123</v>
      </c>
      <c r="D17" s="2" t="s">
        <v>149</v>
      </c>
      <c r="E17" s="2" t="s">
        <v>125</v>
      </c>
      <c r="F17" s="2" t="s">
        <v>126</v>
      </c>
      <c r="G17" s="2" t="s">
        <v>127</v>
      </c>
      <c r="H17" s="2" t="s">
        <v>128</v>
      </c>
      <c r="I17" s="2" t="s">
        <v>129</v>
      </c>
      <c r="J17" s="2" t="s">
        <v>61</v>
      </c>
      <c r="N17" s="2" t="s">
        <v>155</v>
      </c>
      <c r="O17" s="2">
        <v>150</v>
      </c>
      <c r="P17" s="2">
        <v>50</v>
      </c>
      <c r="Q17" s="2" t="s">
        <v>168</v>
      </c>
      <c r="R17" s="11" t="s">
        <v>171</v>
      </c>
      <c r="S17" s="2" t="s">
        <v>140</v>
      </c>
      <c r="U17" s="11" t="s">
        <v>174</v>
      </c>
    </row>
    <row r="18" spans="1:21" x14ac:dyDescent="0.25">
      <c r="A18" s="2" t="s">
        <v>122</v>
      </c>
      <c r="B18" s="2" t="s">
        <v>84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  <c r="H18" s="2" t="s">
        <v>128</v>
      </c>
      <c r="I18" s="2" t="s">
        <v>129</v>
      </c>
      <c r="J18" s="2" t="s">
        <v>62</v>
      </c>
      <c r="N18" s="2" t="s">
        <v>137</v>
      </c>
      <c r="O18" s="2">
        <v>150</v>
      </c>
      <c r="P18" s="2">
        <v>100</v>
      </c>
      <c r="Q18" s="2" t="s">
        <v>138</v>
      </c>
      <c r="R18" s="11" t="s">
        <v>139</v>
      </c>
      <c r="S18" s="2" t="s">
        <v>140</v>
      </c>
      <c r="U18" s="11" t="s">
        <v>141</v>
      </c>
    </row>
    <row r="19" spans="1:21" x14ac:dyDescent="0.25">
      <c r="A19" s="2" t="s">
        <v>122</v>
      </c>
      <c r="B19" s="2" t="s">
        <v>12</v>
      </c>
      <c r="C19" s="2" t="s">
        <v>123</v>
      </c>
      <c r="D19" s="2" t="s">
        <v>149</v>
      </c>
      <c r="E19" s="2" t="s">
        <v>125</v>
      </c>
      <c r="F19" s="2" t="s">
        <v>126</v>
      </c>
      <c r="G19" s="2" t="s">
        <v>127</v>
      </c>
      <c r="H19" s="2" t="s">
        <v>128</v>
      </c>
      <c r="I19" s="2" t="s">
        <v>129</v>
      </c>
      <c r="J19" s="2" t="s">
        <v>62</v>
      </c>
      <c r="N19" s="2" t="s">
        <v>137</v>
      </c>
      <c r="O19" s="2">
        <v>150</v>
      </c>
      <c r="P19" s="2">
        <v>50</v>
      </c>
      <c r="Q19" s="2" t="s">
        <v>138</v>
      </c>
      <c r="R19" s="11" t="s">
        <v>150</v>
      </c>
      <c r="S19" s="2" t="s">
        <v>140</v>
      </c>
      <c r="U19" s="11" t="s">
        <v>151</v>
      </c>
    </row>
    <row r="20" spans="1:21" x14ac:dyDescent="0.25">
      <c r="A20" s="2" t="s">
        <v>122</v>
      </c>
      <c r="B20" s="2" t="s">
        <v>84</v>
      </c>
      <c r="C20" s="2" t="s">
        <v>123</v>
      </c>
      <c r="D20" s="2" t="s">
        <v>124</v>
      </c>
      <c r="E20" s="2" t="s">
        <v>125</v>
      </c>
      <c r="F20" s="2" t="s">
        <v>126</v>
      </c>
      <c r="G20" s="2" t="s">
        <v>127</v>
      </c>
      <c r="H20" s="2" t="s">
        <v>128</v>
      </c>
      <c r="I20" s="2" t="s">
        <v>129</v>
      </c>
      <c r="J20" s="2" t="s">
        <v>64</v>
      </c>
      <c r="N20" s="2" t="s">
        <v>137</v>
      </c>
      <c r="O20" s="2">
        <v>50</v>
      </c>
      <c r="P20" s="2">
        <v>50</v>
      </c>
      <c r="Q20" s="2" t="s">
        <v>138</v>
      </c>
      <c r="R20" s="11" t="s">
        <v>150</v>
      </c>
      <c r="S20" s="2" t="s">
        <v>152</v>
      </c>
      <c r="U20" s="11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22"/>
  <sheetViews>
    <sheetView topLeftCell="S1" workbookViewId="0">
      <selection activeCell="AA2" sqref="AA2"/>
    </sheetView>
  </sheetViews>
  <sheetFormatPr defaultRowHeight="15" x14ac:dyDescent="0.25"/>
  <cols>
    <col min="1" max="1" width="9.85546875" style="2" bestFit="1" customWidth="1"/>
    <col min="2" max="2" width="21.5703125" style="2" bestFit="1" customWidth="1"/>
    <col min="3" max="3" width="9.140625" style="2"/>
    <col min="4" max="4" width="20" style="2" bestFit="1" customWidth="1"/>
    <col min="5" max="10" width="9.140625" style="2"/>
    <col min="11" max="11" width="9.140625" style="8"/>
    <col min="12" max="12" width="10.42578125" style="10" bestFit="1" customWidth="1"/>
    <col min="13" max="14" width="9.140625" style="8"/>
    <col min="15" max="16" width="9.140625" style="10"/>
    <col min="17" max="17" width="9.140625" style="8"/>
    <col min="18" max="25" width="9.140625" style="2"/>
    <col min="26" max="26" width="9.140625" style="11"/>
    <col min="27" max="27" width="9.140625" style="2"/>
    <col min="28" max="28" width="9.140625" style="11"/>
    <col min="29" max="29" width="13.42578125" style="2" bestFit="1" customWidth="1"/>
    <col min="30" max="30" width="13.140625" style="11" bestFit="1" customWidth="1"/>
    <col min="31" max="31" width="12.42578125" style="2" bestFit="1" customWidth="1"/>
    <col min="32" max="32" width="9.5703125" style="2" bestFit="1" customWidth="1"/>
    <col min="33" max="33" width="16.140625" style="2" bestFit="1" customWidth="1"/>
    <col min="34" max="16384" width="9.140625" style="2"/>
  </cols>
  <sheetData>
    <row r="1" spans="1:38" x14ac:dyDescent="0.25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8" t="s">
        <v>95</v>
      </c>
      <c r="L1" s="10" t="s">
        <v>96</v>
      </c>
      <c r="M1" s="8" t="s">
        <v>97</v>
      </c>
      <c r="N1" s="8" t="s">
        <v>98</v>
      </c>
      <c r="O1" s="10" t="s">
        <v>99</v>
      </c>
      <c r="P1" s="10" t="s">
        <v>100</v>
      </c>
      <c r="Q1" s="8" t="s">
        <v>101</v>
      </c>
      <c r="R1" s="2" t="s">
        <v>102</v>
      </c>
      <c r="S1" s="2" t="s">
        <v>4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11" t="s">
        <v>109</v>
      </c>
      <c r="AA1" s="2" t="s">
        <v>110</v>
      </c>
      <c r="AB1" s="11" t="s">
        <v>111</v>
      </c>
      <c r="AC1" s="2" t="s">
        <v>112</v>
      </c>
      <c r="AD1" s="11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</row>
    <row r="2" spans="1:38" x14ac:dyDescent="0.25">
      <c r="A2" s="2" t="s">
        <v>122</v>
      </c>
      <c r="B2" s="2" t="s">
        <v>84</v>
      </c>
      <c r="C2" s="2" t="s">
        <v>123</v>
      </c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8" t="s">
        <v>131</v>
      </c>
      <c r="L2" s="10" t="s">
        <v>132</v>
      </c>
      <c r="M2" s="8" t="s">
        <v>133</v>
      </c>
      <c r="N2" s="8" t="s">
        <v>133</v>
      </c>
      <c r="O2" s="10" t="s">
        <v>134</v>
      </c>
      <c r="P2" s="10" t="s">
        <v>133</v>
      </c>
      <c r="Q2" s="8" t="s">
        <v>135</v>
      </c>
      <c r="R2" s="2" t="s">
        <v>136</v>
      </c>
      <c r="S2" s="2" t="s">
        <v>45</v>
      </c>
      <c r="T2" s="2" t="s">
        <v>137</v>
      </c>
      <c r="U2" s="2">
        <v>150</v>
      </c>
      <c r="V2" s="2">
        <v>100</v>
      </c>
      <c r="W2" s="2">
        <v>1</v>
      </c>
      <c r="X2" s="2">
        <v>2</v>
      </c>
      <c r="Y2" s="2" t="s">
        <v>138</v>
      </c>
      <c r="Z2" s="11" t="s">
        <v>139</v>
      </c>
      <c r="AA2" s="2" t="s">
        <v>140</v>
      </c>
      <c r="AB2" s="11" t="s">
        <v>141</v>
      </c>
      <c r="AC2" s="2" t="s">
        <v>142</v>
      </c>
      <c r="AD2" s="11" t="s">
        <v>143</v>
      </c>
      <c r="AE2" s="2" t="s">
        <v>144</v>
      </c>
      <c r="AF2" s="2" t="s">
        <v>145</v>
      </c>
      <c r="AG2" s="2" t="s">
        <v>146</v>
      </c>
      <c r="AH2" s="2" t="s">
        <v>147</v>
      </c>
      <c r="AI2" s="2">
        <v>6</v>
      </c>
      <c r="AJ2" s="2">
        <v>6</v>
      </c>
      <c r="AK2" s="2" t="s">
        <v>140</v>
      </c>
      <c r="AL2" s="2" t="s">
        <v>148</v>
      </c>
    </row>
    <row r="3" spans="1:38" x14ac:dyDescent="0.25">
      <c r="A3" s="2" t="s">
        <v>122</v>
      </c>
      <c r="B3" s="2" t="s">
        <v>12</v>
      </c>
      <c r="C3" s="2" t="s">
        <v>123</v>
      </c>
      <c r="D3" s="2" t="s">
        <v>149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8" t="s">
        <v>131</v>
      </c>
      <c r="L3" s="10" t="s">
        <v>132</v>
      </c>
      <c r="M3" s="8" t="s">
        <v>133</v>
      </c>
      <c r="N3" s="8" t="s">
        <v>133</v>
      </c>
      <c r="O3" s="10" t="s">
        <v>134</v>
      </c>
      <c r="P3" s="10" t="s">
        <v>133</v>
      </c>
      <c r="Q3" s="8" t="s">
        <v>135</v>
      </c>
      <c r="R3" s="2" t="s">
        <v>136</v>
      </c>
      <c r="S3" s="2" t="s">
        <v>45</v>
      </c>
      <c r="T3" s="2" t="s">
        <v>137</v>
      </c>
      <c r="U3" s="2">
        <v>150</v>
      </c>
      <c r="V3" s="2">
        <v>50</v>
      </c>
      <c r="W3" s="2">
        <v>3</v>
      </c>
      <c r="X3" s="2">
        <v>4</v>
      </c>
      <c r="Y3" s="2" t="s">
        <v>138</v>
      </c>
      <c r="Z3" s="11" t="s">
        <v>150</v>
      </c>
      <c r="AA3" s="2" t="s">
        <v>140</v>
      </c>
      <c r="AB3" s="11" t="s">
        <v>151</v>
      </c>
      <c r="AC3" s="2" t="s">
        <v>142</v>
      </c>
      <c r="AD3" s="11" t="s">
        <v>143</v>
      </c>
      <c r="AE3" s="2" t="s">
        <v>144</v>
      </c>
      <c r="AF3" s="2" t="s">
        <v>145</v>
      </c>
      <c r="AG3" s="2" t="s">
        <v>146</v>
      </c>
      <c r="AH3" s="2" t="s">
        <v>147</v>
      </c>
      <c r="AI3" s="2">
        <v>6</v>
      </c>
      <c r="AJ3" s="2">
        <v>6</v>
      </c>
      <c r="AK3" s="2" t="s">
        <v>140</v>
      </c>
      <c r="AL3" s="2" t="s">
        <v>148</v>
      </c>
    </row>
    <row r="4" spans="1:38" x14ac:dyDescent="0.25">
      <c r="A4" s="2" t="s">
        <v>122</v>
      </c>
      <c r="B4" s="2" t="s">
        <v>84</v>
      </c>
      <c r="C4" s="2" t="s">
        <v>123</v>
      </c>
      <c r="D4" s="2" t="s">
        <v>124</v>
      </c>
      <c r="E4" s="2" t="s">
        <v>125</v>
      </c>
      <c r="F4" s="2" t="s">
        <v>126</v>
      </c>
      <c r="G4" s="2" t="s">
        <v>127</v>
      </c>
      <c r="H4" s="2" t="s">
        <v>128</v>
      </c>
      <c r="I4" s="2" t="s">
        <v>129</v>
      </c>
      <c r="J4" s="2" t="s">
        <v>130</v>
      </c>
      <c r="K4" s="8" t="s">
        <v>131</v>
      </c>
      <c r="L4" s="10" t="s">
        <v>132</v>
      </c>
      <c r="M4" s="8" t="s">
        <v>133</v>
      </c>
      <c r="N4" s="8" t="s">
        <v>133</v>
      </c>
      <c r="O4" s="10" t="s">
        <v>134</v>
      </c>
      <c r="P4" s="10" t="s">
        <v>133</v>
      </c>
      <c r="Q4" s="8" t="s">
        <v>135</v>
      </c>
      <c r="R4" s="2" t="s">
        <v>136</v>
      </c>
      <c r="S4" s="2" t="s">
        <v>48</v>
      </c>
      <c r="T4" s="2" t="s">
        <v>137</v>
      </c>
      <c r="U4" s="2">
        <v>150</v>
      </c>
      <c r="V4" s="2">
        <v>100</v>
      </c>
      <c r="W4" s="2">
        <v>1</v>
      </c>
      <c r="X4" s="2">
        <v>2</v>
      </c>
      <c r="Y4" s="2" t="s">
        <v>138</v>
      </c>
      <c r="Z4" s="11" t="s">
        <v>139</v>
      </c>
      <c r="AA4" s="2" t="s">
        <v>152</v>
      </c>
      <c r="AB4" s="11" t="s">
        <v>153</v>
      </c>
      <c r="AC4" s="2" t="s">
        <v>142</v>
      </c>
      <c r="AD4" s="11" t="s">
        <v>143</v>
      </c>
      <c r="AE4" s="2" t="s">
        <v>144</v>
      </c>
      <c r="AF4" s="2" t="s">
        <v>145</v>
      </c>
      <c r="AG4" s="2" t="s">
        <v>146</v>
      </c>
      <c r="AH4" s="2" t="s">
        <v>147</v>
      </c>
      <c r="AI4" s="2">
        <v>9</v>
      </c>
      <c r="AJ4" s="2">
        <v>9</v>
      </c>
      <c r="AK4" s="2" t="s">
        <v>152</v>
      </c>
      <c r="AL4" s="2" t="s">
        <v>148</v>
      </c>
    </row>
    <row r="5" spans="1:38" x14ac:dyDescent="0.25">
      <c r="A5" s="2" t="s">
        <v>122</v>
      </c>
      <c r="B5" s="2" t="s">
        <v>12</v>
      </c>
      <c r="C5" s="2" t="s">
        <v>123</v>
      </c>
      <c r="D5" s="2" t="s">
        <v>149</v>
      </c>
      <c r="E5" s="2" t="s">
        <v>125</v>
      </c>
      <c r="F5" s="2" t="s">
        <v>126</v>
      </c>
      <c r="G5" s="2" t="s">
        <v>127</v>
      </c>
      <c r="H5" s="2" t="s">
        <v>128</v>
      </c>
      <c r="I5" s="2" t="s">
        <v>129</v>
      </c>
      <c r="J5" s="2" t="s">
        <v>130</v>
      </c>
      <c r="K5" s="8" t="s">
        <v>131</v>
      </c>
      <c r="L5" s="10" t="s">
        <v>132</v>
      </c>
      <c r="M5" s="8" t="s">
        <v>133</v>
      </c>
      <c r="N5" s="8" t="s">
        <v>133</v>
      </c>
      <c r="O5" s="10" t="s">
        <v>134</v>
      </c>
      <c r="P5" s="10" t="s">
        <v>133</v>
      </c>
      <c r="Q5" s="8" t="s">
        <v>135</v>
      </c>
      <c r="R5" s="2" t="s">
        <v>136</v>
      </c>
      <c r="S5" s="2" t="s">
        <v>48</v>
      </c>
      <c r="T5" s="2" t="s">
        <v>137</v>
      </c>
      <c r="U5" s="2">
        <v>150</v>
      </c>
      <c r="V5" s="2">
        <v>50</v>
      </c>
      <c r="W5" s="2">
        <v>3</v>
      </c>
      <c r="X5" s="2">
        <v>4</v>
      </c>
      <c r="Y5" s="2" t="s">
        <v>138</v>
      </c>
      <c r="Z5" s="11" t="s">
        <v>150</v>
      </c>
      <c r="AA5" s="2" t="s">
        <v>152</v>
      </c>
      <c r="AB5" s="11" t="s">
        <v>154</v>
      </c>
      <c r="AC5" s="2" t="s">
        <v>142</v>
      </c>
      <c r="AD5" s="11" t="s">
        <v>143</v>
      </c>
      <c r="AE5" s="2" t="s">
        <v>144</v>
      </c>
      <c r="AF5" s="2" t="s">
        <v>145</v>
      </c>
      <c r="AG5" s="2" t="s">
        <v>146</v>
      </c>
      <c r="AH5" s="2" t="s">
        <v>147</v>
      </c>
      <c r="AI5" s="2">
        <v>9</v>
      </c>
      <c r="AJ5" s="2">
        <v>9</v>
      </c>
      <c r="AK5" s="2" t="s">
        <v>152</v>
      </c>
      <c r="AL5" s="2" t="s">
        <v>148</v>
      </c>
    </row>
    <row r="6" spans="1:38" x14ac:dyDescent="0.25">
      <c r="A6" s="2" t="s">
        <v>122</v>
      </c>
      <c r="B6" s="2" t="s">
        <v>84</v>
      </c>
      <c r="C6" s="2" t="s">
        <v>123</v>
      </c>
      <c r="D6" s="2" t="s">
        <v>124</v>
      </c>
      <c r="E6" s="2" t="s">
        <v>125</v>
      </c>
      <c r="F6" s="2" t="s">
        <v>126</v>
      </c>
      <c r="G6" s="2" t="s">
        <v>127</v>
      </c>
      <c r="H6" s="2" t="s">
        <v>128</v>
      </c>
      <c r="I6" s="2" t="s">
        <v>129</v>
      </c>
      <c r="J6" s="2" t="s">
        <v>130</v>
      </c>
      <c r="K6" s="8" t="s">
        <v>131</v>
      </c>
      <c r="L6" s="10" t="s">
        <v>132</v>
      </c>
      <c r="M6" s="8" t="s">
        <v>133</v>
      </c>
      <c r="N6" s="8" t="s">
        <v>133</v>
      </c>
      <c r="O6" s="10" t="s">
        <v>134</v>
      </c>
      <c r="P6" s="10" t="s">
        <v>133</v>
      </c>
      <c r="Q6" s="8" t="s">
        <v>135</v>
      </c>
      <c r="R6" s="2" t="s">
        <v>136</v>
      </c>
      <c r="S6" s="2" t="s">
        <v>51</v>
      </c>
      <c r="T6" s="2" t="s">
        <v>155</v>
      </c>
      <c r="U6" s="2">
        <v>150</v>
      </c>
      <c r="V6" s="2">
        <v>100</v>
      </c>
      <c r="W6" s="2">
        <v>1</v>
      </c>
      <c r="X6" s="2">
        <v>2</v>
      </c>
      <c r="Y6" s="2" t="s">
        <v>156</v>
      </c>
      <c r="Z6" s="11" t="s">
        <v>157</v>
      </c>
      <c r="AA6" s="2" t="s">
        <v>152</v>
      </c>
      <c r="AB6" s="11" t="s">
        <v>158</v>
      </c>
      <c r="AC6" s="2" t="s">
        <v>142</v>
      </c>
      <c r="AD6" s="11" t="s">
        <v>143</v>
      </c>
      <c r="AE6" s="2" t="s">
        <v>144</v>
      </c>
      <c r="AF6" s="2" t="s">
        <v>145</v>
      </c>
      <c r="AG6" s="2" t="s">
        <v>146</v>
      </c>
      <c r="AH6" s="2" t="s">
        <v>147</v>
      </c>
      <c r="AI6" s="2">
        <v>9</v>
      </c>
      <c r="AJ6" s="2">
        <v>9</v>
      </c>
      <c r="AK6" s="2" t="s">
        <v>152</v>
      </c>
      <c r="AL6" s="2" t="s">
        <v>148</v>
      </c>
    </row>
    <row r="7" spans="1:38" x14ac:dyDescent="0.25">
      <c r="A7" s="2" t="s">
        <v>122</v>
      </c>
      <c r="B7" s="2" t="s">
        <v>12</v>
      </c>
      <c r="C7" s="2" t="s">
        <v>123</v>
      </c>
      <c r="D7" s="2" t="s">
        <v>149</v>
      </c>
      <c r="E7" s="2" t="s">
        <v>125</v>
      </c>
      <c r="F7" s="2" t="s">
        <v>126</v>
      </c>
      <c r="G7" s="2" t="s">
        <v>127</v>
      </c>
      <c r="H7" s="2" t="s">
        <v>128</v>
      </c>
      <c r="I7" s="2" t="s">
        <v>129</v>
      </c>
      <c r="J7" s="2" t="s">
        <v>130</v>
      </c>
      <c r="K7" s="8" t="s">
        <v>131</v>
      </c>
      <c r="L7" s="10" t="s">
        <v>132</v>
      </c>
      <c r="M7" s="8" t="s">
        <v>133</v>
      </c>
      <c r="N7" s="8" t="s">
        <v>133</v>
      </c>
      <c r="O7" s="10" t="s">
        <v>134</v>
      </c>
      <c r="P7" s="10" t="s">
        <v>133</v>
      </c>
      <c r="Q7" s="8" t="s">
        <v>135</v>
      </c>
      <c r="R7" s="2" t="s">
        <v>136</v>
      </c>
      <c r="S7" s="2" t="s">
        <v>51</v>
      </c>
      <c r="T7" s="2" t="s">
        <v>155</v>
      </c>
      <c r="U7" s="2">
        <v>150</v>
      </c>
      <c r="V7" s="2">
        <v>50</v>
      </c>
      <c r="W7" s="2">
        <v>3</v>
      </c>
      <c r="X7" s="2">
        <v>4</v>
      </c>
      <c r="Y7" s="2" t="s">
        <v>156</v>
      </c>
      <c r="Z7" s="11" t="s">
        <v>159</v>
      </c>
      <c r="AA7" s="2" t="s">
        <v>152</v>
      </c>
      <c r="AB7" s="11" t="s">
        <v>160</v>
      </c>
      <c r="AC7" s="2" t="s">
        <v>142</v>
      </c>
      <c r="AD7" s="11" t="s">
        <v>143</v>
      </c>
      <c r="AE7" s="2" t="s">
        <v>144</v>
      </c>
      <c r="AF7" s="2" t="s">
        <v>145</v>
      </c>
      <c r="AG7" s="2" t="s">
        <v>146</v>
      </c>
      <c r="AH7" s="2" t="s">
        <v>147</v>
      </c>
      <c r="AI7" s="2">
        <v>9</v>
      </c>
      <c r="AJ7" s="2">
        <v>9</v>
      </c>
      <c r="AK7" s="2" t="s">
        <v>152</v>
      </c>
      <c r="AL7" s="2" t="s">
        <v>148</v>
      </c>
    </row>
    <row r="8" spans="1:38" x14ac:dyDescent="0.25">
      <c r="A8" s="2" t="s">
        <v>122</v>
      </c>
      <c r="B8" s="2" t="s">
        <v>84</v>
      </c>
      <c r="C8" s="2" t="s">
        <v>123</v>
      </c>
      <c r="D8" s="2" t="s">
        <v>124</v>
      </c>
      <c r="E8" s="2" t="s">
        <v>125</v>
      </c>
      <c r="F8" s="2" t="s">
        <v>126</v>
      </c>
      <c r="G8" s="2" t="s">
        <v>127</v>
      </c>
      <c r="H8" s="2" t="s">
        <v>128</v>
      </c>
      <c r="I8" s="2" t="s">
        <v>129</v>
      </c>
      <c r="J8" s="2" t="s">
        <v>130</v>
      </c>
      <c r="K8" s="8" t="s">
        <v>131</v>
      </c>
      <c r="L8" s="10" t="s">
        <v>132</v>
      </c>
      <c r="M8" s="8" t="s">
        <v>133</v>
      </c>
      <c r="N8" s="8" t="s">
        <v>133</v>
      </c>
      <c r="O8" s="10" t="s">
        <v>134</v>
      </c>
      <c r="P8" s="10" t="s">
        <v>133</v>
      </c>
      <c r="Q8" s="8" t="s">
        <v>135</v>
      </c>
      <c r="R8" s="2" t="s">
        <v>136</v>
      </c>
      <c r="S8" s="2" t="s">
        <v>52</v>
      </c>
      <c r="T8" s="2" t="s">
        <v>137</v>
      </c>
      <c r="U8" s="2">
        <v>150</v>
      </c>
      <c r="V8" s="2">
        <v>100</v>
      </c>
      <c r="W8" s="2">
        <v>1</v>
      </c>
      <c r="X8" s="2">
        <v>2</v>
      </c>
      <c r="Y8" s="2" t="s">
        <v>161</v>
      </c>
      <c r="Z8" s="11" t="s">
        <v>162</v>
      </c>
      <c r="AA8" s="2" t="s">
        <v>152</v>
      </c>
      <c r="AB8" s="11" t="s">
        <v>163</v>
      </c>
      <c r="AC8" s="2" t="s">
        <v>142</v>
      </c>
      <c r="AD8" s="11" t="s">
        <v>143</v>
      </c>
      <c r="AE8" s="2" t="s">
        <v>144</v>
      </c>
      <c r="AF8" s="2" t="s">
        <v>145</v>
      </c>
      <c r="AG8" s="2" t="s">
        <v>146</v>
      </c>
      <c r="AH8" s="2" t="s">
        <v>147</v>
      </c>
      <c r="AI8" s="2">
        <v>9</v>
      </c>
      <c r="AJ8" s="2">
        <v>9</v>
      </c>
      <c r="AK8" s="2" t="s">
        <v>152</v>
      </c>
      <c r="AL8" s="2" t="s">
        <v>148</v>
      </c>
    </row>
    <row r="9" spans="1:38" x14ac:dyDescent="0.25">
      <c r="A9" s="2" t="s">
        <v>122</v>
      </c>
      <c r="B9" s="2" t="s">
        <v>12</v>
      </c>
      <c r="C9" s="2" t="s">
        <v>123</v>
      </c>
      <c r="D9" s="2" t="s">
        <v>149</v>
      </c>
      <c r="E9" s="2" t="s">
        <v>125</v>
      </c>
      <c r="F9" s="2" t="s">
        <v>126</v>
      </c>
      <c r="G9" s="2" t="s">
        <v>127</v>
      </c>
      <c r="H9" s="2" t="s">
        <v>128</v>
      </c>
      <c r="I9" s="2" t="s">
        <v>129</v>
      </c>
      <c r="J9" s="2" t="s">
        <v>130</v>
      </c>
      <c r="K9" s="8" t="s">
        <v>131</v>
      </c>
      <c r="L9" s="10" t="s">
        <v>132</v>
      </c>
      <c r="M9" s="8" t="s">
        <v>133</v>
      </c>
      <c r="N9" s="8" t="s">
        <v>133</v>
      </c>
      <c r="O9" s="10" t="s">
        <v>134</v>
      </c>
      <c r="P9" s="10" t="s">
        <v>133</v>
      </c>
      <c r="Q9" s="8" t="s">
        <v>135</v>
      </c>
      <c r="R9" s="2" t="s">
        <v>136</v>
      </c>
      <c r="S9" s="2" t="s">
        <v>52</v>
      </c>
      <c r="T9" s="2" t="s">
        <v>137</v>
      </c>
      <c r="U9" s="2">
        <v>150</v>
      </c>
      <c r="V9" s="2">
        <v>50</v>
      </c>
      <c r="W9" s="2">
        <v>3</v>
      </c>
      <c r="X9" s="2">
        <v>4</v>
      </c>
      <c r="Y9" s="2" t="s">
        <v>161</v>
      </c>
      <c r="Z9" s="11" t="s">
        <v>164</v>
      </c>
      <c r="AA9" s="2" t="s">
        <v>152</v>
      </c>
      <c r="AB9" s="11" t="s">
        <v>165</v>
      </c>
      <c r="AC9" s="2" t="s">
        <v>142</v>
      </c>
      <c r="AD9" s="11" t="s">
        <v>143</v>
      </c>
      <c r="AE9" s="2" t="s">
        <v>144</v>
      </c>
      <c r="AF9" s="2" t="s">
        <v>145</v>
      </c>
      <c r="AG9" s="2" t="s">
        <v>146</v>
      </c>
      <c r="AH9" s="2" t="s">
        <v>147</v>
      </c>
      <c r="AI9" s="2">
        <v>9</v>
      </c>
      <c r="AJ9" s="2">
        <v>9</v>
      </c>
      <c r="AK9" s="2" t="s">
        <v>152</v>
      </c>
      <c r="AL9" s="2" t="s">
        <v>148</v>
      </c>
    </row>
    <row r="10" spans="1:38" x14ac:dyDescent="0.25">
      <c r="A10" s="2" t="s">
        <v>122</v>
      </c>
      <c r="B10" s="2" t="s">
        <v>84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127</v>
      </c>
      <c r="H10" s="2" t="s">
        <v>128</v>
      </c>
      <c r="I10" s="2" t="s">
        <v>129</v>
      </c>
      <c r="J10" s="2" t="s">
        <v>130</v>
      </c>
      <c r="K10" s="8" t="s">
        <v>131</v>
      </c>
      <c r="L10" s="10" t="s">
        <v>132</v>
      </c>
      <c r="M10" s="8" t="s">
        <v>133</v>
      </c>
      <c r="N10" s="8" t="s">
        <v>133</v>
      </c>
      <c r="O10" s="10" t="s">
        <v>134</v>
      </c>
      <c r="P10" s="10" t="s">
        <v>133</v>
      </c>
      <c r="Q10" s="8" t="s">
        <v>135</v>
      </c>
      <c r="R10" s="2" t="s">
        <v>136</v>
      </c>
      <c r="S10" s="2" t="s">
        <v>54</v>
      </c>
      <c r="T10" s="2" t="s">
        <v>166</v>
      </c>
      <c r="U10" s="2">
        <v>150</v>
      </c>
      <c r="V10" s="2">
        <v>100</v>
      </c>
      <c r="W10" s="2">
        <v>1</v>
      </c>
      <c r="X10" s="2">
        <v>2</v>
      </c>
      <c r="Y10" s="2" t="s">
        <v>138</v>
      </c>
      <c r="Z10" s="11" t="s">
        <v>139</v>
      </c>
      <c r="AA10" s="2" t="s">
        <v>152</v>
      </c>
      <c r="AB10" s="11" t="s">
        <v>153</v>
      </c>
      <c r="AC10" s="2" t="s">
        <v>142</v>
      </c>
      <c r="AD10" s="11" t="s">
        <v>143</v>
      </c>
      <c r="AE10" s="2" t="s">
        <v>144</v>
      </c>
      <c r="AF10" s="2" t="s">
        <v>145</v>
      </c>
      <c r="AG10" s="2" t="s">
        <v>146</v>
      </c>
      <c r="AH10" s="2" t="s">
        <v>147</v>
      </c>
      <c r="AI10" s="2">
        <v>9</v>
      </c>
      <c r="AJ10" s="2">
        <v>9</v>
      </c>
      <c r="AK10" s="2" t="s">
        <v>152</v>
      </c>
      <c r="AL10" s="2" t="s">
        <v>148</v>
      </c>
    </row>
    <row r="11" spans="1:38" x14ac:dyDescent="0.25">
      <c r="A11" s="2" t="s">
        <v>122</v>
      </c>
      <c r="B11" s="2" t="s">
        <v>12</v>
      </c>
      <c r="C11" s="2" t="s">
        <v>123</v>
      </c>
      <c r="D11" s="2" t="s">
        <v>149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129</v>
      </c>
      <c r="J11" s="2" t="s">
        <v>130</v>
      </c>
      <c r="K11" s="8" t="s">
        <v>131</v>
      </c>
      <c r="L11" s="10" t="s">
        <v>132</v>
      </c>
      <c r="M11" s="8" t="s">
        <v>133</v>
      </c>
      <c r="N11" s="8" t="s">
        <v>133</v>
      </c>
      <c r="O11" s="10" t="s">
        <v>134</v>
      </c>
      <c r="P11" s="10" t="s">
        <v>133</v>
      </c>
      <c r="Q11" s="8" t="s">
        <v>135</v>
      </c>
      <c r="R11" s="2" t="s">
        <v>136</v>
      </c>
      <c r="S11" s="2" t="s">
        <v>54</v>
      </c>
      <c r="T11" s="2" t="s">
        <v>166</v>
      </c>
      <c r="U11" s="2">
        <v>150</v>
      </c>
      <c r="V11" s="2">
        <v>50</v>
      </c>
      <c r="W11" s="2">
        <v>3</v>
      </c>
      <c r="X11" s="2">
        <v>4</v>
      </c>
      <c r="Y11" s="2" t="s">
        <v>138</v>
      </c>
      <c r="Z11" s="11" t="s">
        <v>150</v>
      </c>
      <c r="AA11" s="2" t="s">
        <v>152</v>
      </c>
      <c r="AB11" s="11" t="s">
        <v>154</v>
      </c>
      <c r="AC11" s="2" t="s">
        <v>142</v>
      </c>
      <c r="AD11" s="11" t="s">
        <v>143</v>
      </c>
      <c r="AE11" s="2" t="s">
        <v>144</v>
      </c>
      <c r="AF11" s="2" t="s">
        <v>145</v>
      </c>
      <c r="AG11" s="2" t="s">
        <v>146</v>
      </c>
      <c r="AH11" s="2" t="s">
        <v>147</v>
      </c>
      <c r="AI11" s="2">
        <v>9</v>
      </c>
      <c r="AJ11" s="2">
        <v>9</v>
      </c>
      <c r="AK11" s="2" t="s">
        <v>152</v>
      </c>
      <c r="AL11" s="2" t="s">
        <v>148</v>
      </c>
    </row>
    <row r="12" spans="1:38" x14ac:dyDescent="0.25">
      <c r="A12" s="2" t="s">
        <v>122</v>
      </c>
      <c r="B12" s="2" t="s">
        <v>84</v>
      </c>
      <c r="C12" s="2" t="s">
        <v>123</v>
      </c>
      <c r="D12" s="2" t="s">
        <v>124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130</v>
      </c>
      <c r="K12" s="8" t="s">
        <v>131</v>
      </c>
      <c r="L12" s="10" t="s">
        <v>132</v>
      </c>
      <c r="M12" s="8" t="s">
        <v>133</v>
      </c>
      <c r="N12" s="8" t="s">
        <v>133</v>
      </c>
      <c r="O12" s="10" t="s">
        <v>134</v>
      </c>
      <c r="P12" s="10" t="s">
        <v>133</v>
      </c>
      <c r="Q12" s="8" t="s">
        <v>135</v>
      </c>
      <c r="R12" s="2" t="s">
        <v>136</v>
      </c>
      <c r="S12" s="2" t="s">
        <v>56</v>
      </c>
      <c r="T12" s="2" t="s">
        <v>137</v>
      </c>
      <c r="U12" s="2">
        <v>150</v>
      </c>
      <c r="V12" s="2">
        <v>100</v>
      </c>
      <c r="W12" s="2">
        <v>1</v>
      </c>
      <c r="X12" s="2">
        <v>2</v>
      </c>
      <c r="Y12" s="2" t="s">
        <v>156</v>
      </c>
      <c r="Z12" s="11" t="s">
        <v>157</v>
      </c>
      <c r="AA12" s="2" t="s">
        <v>152</v>
      </c>
      <c r="AB12" s="11" t="s">
        <v>158</v>
      </c>
      <c r="AC12" s="2" t="s">
        <v>142</v>
      </c>
      <c r="AD12" s="11" t="s">
        <v>143</v>
      </c>
      <c r="AE12" s="2" t="s">
        <v>144</v>
      </c>
      <c r="AF12" s="2" t="s">
        <v>145</v>
      </c>
      <c r="AG12" s="2" t="s">
        <v>146</v>
      </c>
      <c r="AH12" s="2" t="s">
        <v>147</v>
      </c>
      <c r="AI12" s="2">
        <v>9</v>
      </c>
      <c r="AJ12" s="2">
        <v>9</v>
      </c>
      <c r="AK12" s="2" t="s">
        <v>152</v>
      </c>
      <c r="AL12" s="2" t="s">
        <v>148</v>
      </c>
    </row>
    <row r="13" spans="1:38" x14ac:dyDescent="0.25">
      <c r="A13" s="2" t="s">
        <v>122</v>
      </c>
      <c r="B13" s="2" t="s">
        <v>12</v>
      </c>
      <c r="C13" s="2" t="s">
        <v>123</v>
      </c>
      <c r="D13" s="2" t="s">
        <v>149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130</v>
      </c>
      <c r="K13" s="8" t="s">
        <v>131</v>
      </c>
      <c r="L13" s="10" t="s">
        <v>132</v>
      </c>
      <c r="M13" s="8" t="s">
        <v>133</v>
      </c>
      <c r="N13" s="8" t="s">
        <v>133</v>
      </c>
      <c r="O13" s="10" t="s">
        <v>134</v>
      </c>
      <c r="P13" s="10" t="s">
        <v>133</v>
      </c>
      <c r="Q13" s="8" t="s">
        <v>135</v>
      </c>
      <c r="R13" s="2" t="s">
        <v>136</v>
      </c>
      <c r="S13" s="2" t="s">
        <v>56</v>
      </c>
      <c r="T13" s="2" t="s">
        <v>137</v>
      </c>
      <c r="U13" s="2">
        <v>150</v>
      </c>
      <c r="V13" s="2">
        <v>50</v>
      </c>
      <c r="W13" s="2">
        <v>3</v>
      </c>
      <c r="X13" s="2">
        <v>4</v>
      </c>
      <c r="Y13" s="2" t="s">
        <v>156</v>
      </c>
      <c r="Z13" s="11" t="s">
        <v>159</v>
      </c>
      <c r="AA13" s="2" t="s">
        <v>152</v>
      </c>
      <c r="AB13" s="11" t="s">
        <v>160</v>
      </c>
      <c r="AC13" s="2" t="s">
        <v>142</v>
      </c>
      <c r="AD13" s="11" t="s">
        <v>143</v>
      </c>
      <c r="AE13" s="2" t="s">
        <v>144</v>
      </c>
      <c r="AF13" s="2" t="s">
        <v>145</v>
      </c>
      <c r="AG13" s="2" t="s">
        <v>146</v>
      </c>
      <c r="AH13" s="2" t="s">
        <v>147</v>
      </c>
      <c r="AI13" s="2">
        <v>9</v>
      </c>
      <c r="AJ13" s="2">
        <v>9</v>
      </c>
      <c r="AK13" s="2" t="s">
        <v>152</v>
      </c>
      <c r="AL13" s="2" t="s">
        <v>148</v>
      </c>
    </row>
    <row r="14" spans="1:38" x14ac:dyDescent="0.25">
      <c r="A14" s="2" t="s">
        <v>122</v>
      </c>
      <c r="B14" s="2" t="s">
        <v>84</v>
      </c>
      <c r="C14" s="2" t="s">
        <v>123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129</v>
      </c>
      <c r="J14" s="2" t="s">
        <v>130</v>
      </c>
      <c r="K14" s="8" t="s">
        <v>131</v>
      </c>
      <c r="L14" s="10" t="s">
        <v>132</v>
      </c>
      <c r="M14" s="8" t="s">
        <v>133</v>
      </c>
      <c r="N14" s="8" t="s">
        <v>133</v>
      </c>
      <c r="O14" s="10" t="s">
        <v>134</v>
      </c>
      <c r="P14" s="10" t="s">
        <v>133</v>
      </c>
      <c r="Q14" s="8" t="s">
        <v>135</v>
      </c>
      <c r="R14" s="2" t="s">
        <v>136</v>
      </c>
      <c r="S14" s="2" t="s">
        <v>59</v>
      </c>
      <c r="T14" s="2" t="s">
        <v>167</v>
      </c>
      <c r="U14" s="2">
        <v>150</v>
      </c>
      <c r="V14" s="2">
        <v>100</v>
      </c>
      <c r="W14" s="2">
        <v>1</v>
      </c>
      <c r="X14" s="2">
        <v>2</v>
      </c>
      <c r="Y14" s="2" t="s">
        <v>168</v>
      </c>
      <c r="Z14" s="11" t="s">
        <v>169</v>
      </c>
      <c r="AA14" s="2" t="s">
        <v>152</v>
      </c>
      <c r="AB14" s="11" t="s">
        <v>170</v>
      </c>
      <c r="AC14" s="2" t="s">
        <v>142</v>
      </c>
      <c r="AD14" s="11" t="s">
        <v>143</v>
      </c>
      <c r="AE14" s="2" t="s">
        <v>144</v>
      </c>
      <c r="AF14" s="2" t="s">
        <v>145</v>
      </c>
      <c r="AG14" s="2" t="s">
        <v>146</v>
      </c>
      <c r="AH14" s="2" t="s">
        <v>147</v>
      </c>
      <c r="AI14" s="2">
        <v>9</v>
      </c>
      <c r="AJ14" s="2">
        <v>9</v>
      </c>
      <c r="AK14" s="2" t="s">
        <v>152</v>
      </c>
      <c r="AL14" s="2" t="s">
        <v>148</v>
      </c>
    </row>
    <row r="15" spans="1:38" x14ac:dyDescent="0.25">
      <c r="A15" s="2" t="s">
        <v>122</v>
      </c>
      <c r="B15" s="2" t="s">
        <v>12</v>
      </c>
      <c r="C15" s="2" t="s">
        <v>123</v>
      </c>
      <c r="D15" s="2" t="s">
        <v>149</v>
      </c>
      <c r="E15" s="2" t="s">
        <v>125</v>
      </c>
      <c r="F15" s="2" t="s">
        <v>126</v>
      </c>
      <c r="G15" s="2" t="s">
        <v>127</v>
      </c>
      <c r="H15" s="2" t="s">
        <v>128</v>
      </c>
      <c r="I15" s="2" t="s">
        <v>129</v>
      </c>
      <c r="J15" s="2" t="s">
        <v>130</v>
      </c>
      <c r="K15" s="8" t="s">
        <v>131</v>
      </c>
      <c r="L15" s="10" t="s">
        <v>132</v>
      </c>
      <c r="M15" s="8" t="s">
        <v>133</v>
      </c>
      <c r="N15" s="8" t="s">
        <v>133</v>
      </c>
      <c r="O15" s="10" t="s">
        <v>134</v>
      </c>
      <c r="P15" s="10" t="s">
        <v>133</v>
      </c>
      <c r="Q15" s="8" t="s">
        <v>135</v>
      </c>
      <c r="R15" s="2" t="s">
        <v>136</v>
      </c>
      <c r="S15" s="2" t="s">
        <v>59</v>
      </c>
      <c r="T15" s="2" t="s">
        <v>167</v>
      </c>
      <c r="U15" s="2">
        <v>150</v>
      </c>
      <c r="V15" s="2">
        <v>50</v>
      </c>
      <c r="W15" s="2">
        <v>3</v>
      </c>
      <c r="X15" s="2">
        <v>4</v>
      </c>
      <c r="Y15" s="2" t="s">
        <v>168</v>
      </c>
      <c r="Z15" s="11" t="s">
        <v>171</v>
      </c>
      <c r="AA15" s="2" t="s">
        <v>152</v>
      </c>
      <c r="AB15" s="11" t="s">
        <v>172</v>
      </c>
      <c r="AC15" s="2" t="s">
        <v>142</v>
      </c>
      <c r="AD15" s="11" t="s">
        <v>143</v>
      </c>
      <c r="AE15" s="2" t="s">
        <v>144</v>
      </c>
      <c r="AF15" s="2" t="s">
        <v>145</v>
      </c>
      <c r="AG15" s="2" t="s">
        <v>146</v>
      </c>
      <c r="AH15" s="2" t="s">
        <v>147</v>
      </c>
      <c r="AI15" s="2">
        <v>9</v>
      </c>
      <c r="AJ15" s="2">
        <v>9</v>
      </c>
      <c r="AK15" s="2" t="s">
        <v>152</v>
      </c>
      <c r="AL15" s="2" t="s">
        <v>148</v>
      </c>
    </row>
    <row r="16" spans="1:38" x14ac:dyDescent="0.25">
      <c r="A16" s="2" t="s">
        <v>122</v>
      </c>
      <c r="B16" s="2" t="s">
        <v>84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127</v>
      </c>
      <c r="H16" s="2" t="s">
        <v>128</v>
      </c>
      <c r="I16" s="2" t="s">
        <v>129</v>
      </c>
      <c r="J16" s="2" t="s">
        <v>130</v>
      </c>
      <c r="K16" s="8" t="s">
        <v>131</v>
      </c>
      <c r="L16" s="10" t="s">
        <v>132</v>
      </c>
      <c r="M16" s="8" t="s">
        <v>133</v>
      </c>
      <c r="N16" s="8" t="s">
        <v>133</v>
      </c>
      <c r="O16" s="10" t="s">
        <v>134</v>
      </c>
      <c r="P16" s="10" t="s">
        <v>133</v>
      </c>
      <c r="Q16" s="8" t="s">
        <v>135</v>
      </c>
      <c r="R16" s="2" t="s">
        <v>136</v>
      </c>
      <c r="S16" s="2" t="s">
        <v>61</v>
      </c>
      <c r="T16" s="2" t="s">
        <v>155</v>
      </c>
      <c r="U16" s="2">
        <v>150</v>
      </c>
      <c r="V16" s="2">
        <v>100</v>
      </c>
      <c r="W16" s="2">
        <v>1</v>
      </c>
      <c r="X16" s="2">
        <v>2</v>
      </c>
      <c r="Y16" s="2" t="s">
        <v>168</v>
      </c>
      <c r="Z16" s="11" t="s">
        <v>169</v>
      </c>
      <c r="AA16" s="2" t="s">
        <v>140</v>
      </c>
      <c r="AB16" s="11" t="s">
        <v>173</v>
      </c>
      <c r="AC16" s="2" t="s">
        <v>142</v>
      </c>
      <c r="AD16" s="11" t="s">
        <v>143</v>
      </c>
      <c r="AE16" s="2" t="s">
        <v>144</v>
      </c>
      <c r="AF16" s="2" t="s">
        <v>145</v>
      </c>
      <c r="AG16" s="2" t="s">
        <v>146</v>
      </c>
      <c r="AH16" s="2" t="s">
        <v>147</v>
      </c>
      <c r="AI16" s="2">
        <v>6</v>
      </c>
      <c r="AJ16" s="2">
        <v>6</v>
      </c>
      <c r="AK16" s="2" t="s">
        <v>140</v>
      </c>
      <c r="AL16" s="2" t="s">
        <v>148</v>
      </c>
    </row>
    <row r="17" spans="1:38" x14ac:dyDescent="0.25">
      <c r="A17" s="2" t="s">
        <v>122</v>
      </c>
      <c r="B17" s="2" t="s">
        <v>12</v>
      </c>
      <c r="C17" s="2" t="s">
        <v>123</v>
      </c>
      <c r="D17" s="2" t="s">
        <v>149</v>
      </c>
      <c r="E17" s="2" t="s">
        <v>125</v>
      </c>
      <c r="F17" s="2" t="s">
        <v>126</v>
      </c>
      <c r="G17" s="2" t="s">
        <v>127</v>
      </c>
      <c r="H17" s="2" t="s">
        <v>128</v>
      </c>
      <c r="I17" s="2" t="s">
        <v>129</v>
      </c>
      <c r="J17" s="2" t="s">
        <v>130</v>
      </c>
      <c r="K17" s="8" t="s">
        <v>131</v>
      </c>
      <c r="L17" s="10" t="s">
        <v>132</v>
      </c>
      <c r="M17" s="8" t="s">
        <v>133</v>
      </c>
      <c r="N17" s="8" t="s">
        <v>133</v>
      </c>
      <c r="O17" s="10" t="s">
        <v>134</v>
      </c>
      <c r="P17" s="10" t="s">
        <v>133</v>
      </c>
      <c r="Q17" s="8" t="s">
        <v>135</v>
      </c>
      <c r="R17" s="2" t="s">
        <v>136</v>
      </c>
      <c r="S17" s="2" t="s">
        <v>61</v>
      </c>
      <c r="T17" s="2" t="s">
        <v>155</v>
      </c>
      <c r="U17" s="2">
        <v>150</v>
      </c>
      <c r="V17" s="2">
        <v>50</v>
      </c>
      <c r="W17" s="2">
        <v>3</v>
      </c>
      <c r="X17" s="2">
        <v>4</v>
      </c>
      <c r="Y17" s="2" t="s">
        <v>168</v>
      </c>
      <c r="Z17" s="11" t="s">
        <v>171</v>
      </c>
      <c r="AA17" s="2" t="s">
        <v>140</v>
      </c>
      <c r="AB17" s="11" t="s">
        <v>174</v>
      </c>
      <c r="AC17" s="2" t="s">
        <v>142</v>
      </c>
      <c r="AD17" s="11" t="s">
        <v>143</v>
      </c>
      <c r="AE17" s="2" t="s">
        <v>144</v>
      </c>
      <c r="AF17" s="2" t="s">
        <v>145</v>
      </c>
      <c r="AG17" s="2" t="s">
        <v>146</v>
      </c>
      <c r="AH17" s="2" t="s">
        <v>147</v>
      </c>
      <c r="AI17" s="2">
        <v>6</v>
      </c>
      <c r="AJ17" s="2">
        <v>6</v>
      </c>
      <c r="AK17" s="2" t="s">
        <v>140</v>
      </c>
      <c r="AL17" s="2" t="s">
        <v>148</v>
      </c>
    </row>
    <row r="18" spans="1:38" x14ac:dyDescent="0.25">
      <c r="A18" s="2" t="s">
        <v>122</v>
      </c>
      <c r="B18" s="2" t="s">
        <v>84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  <c r="H18" s="2" t="s">
        <v>128</v>
      </c>
      <c r="I18" s="2" t="s">
        <v>129</v>
      </c>
      <c r="J18" s="2" t="s">
        <v>130</v>
      </c>
      <c r="K18" s="8" t="s">
        <v>131</v>
      </c>
      <c r="L18" s="10" t="s">
        <v>132</v>
      </c>
      <c r="M18" s="8" t="s">
        <v>133</v>
      </c>
      <c r="N18" s="8" t="s">
        <v>133</v>
      </c>
      <c r="O18" s="10" t="s">
        <v>134</v>
      </c>
      <c r="P18" s="10" t="s">
        <v>133</v>
      </c>
      <c r="Q18" s="8" t="s">
        <v>135</v>
      </c>
      <c r="R18" s="2" t="s">
        <v>136</v>
      </c>
      <c r="S18" s="2" t="s">
        <v>62</v>
      </c>
      <c r="T18" s="2" t="s">
        <v>137</v>
      </c>
      <c r="U18" s="2">
        <v>150</v>
      </c>
      <c r="V18" s="2">
        <v>100</v>
      </c>
      <c r="W18" s="2">
        <v>1</v>
      </c>
      <c r="X18" s="2">
        <v>2</v>
      </c>
      <c r="Y18" s="2" t="s">
        <v>138</v>
      </c>
      <c r="Z18" s="11" t="s">
        <v>139</v>
      </c>
      <c r="AA18" s="2" t="s">
        <v>140</v>
      </c>
      <c r="AB18" s="11" t="s">
        <v>141</v>
      </c>
      <c r="AC18" s="2" t="s">
        <v>142</v>
      </c>
      <c r="AD18" s="11" t="s">
        <v>143</v>
      </c>
      <c r="AE18" s="2" t="s">
        <v>144</v>
      </c>
      <c r="AF18" s="2" t="s">
        <v>145</v>
      </c>
      <c r="AG18" s="2" t="s">
        <v>146</v>
      </c>
      <c r="AH18" s="2" t="s">
        <v>147</v>
      </c>
      <c r="AI18" s="2">
        <v>6</v>
      </c>
      <c r="AJ18" s="2">
        <v>6</v>
      </c>
      <c r="AK18" s="2" t="s">
        <v>140</v>
      </c>
      <c r="AL18" s="2" t="s">
        <v>148</v>
      </c>
    </row>
    <row r="19" spans="1:38" x14ac:dyDescent="0.25">
      <c r="A19" s="2" t="s">
        <v>122</v>
      </c>
      <c r="B19" s="2" t="s">
        <v>12</v>
      </c>
      <c r="C19" s="2" t="s">
        <v>123</v>
      </c>
      <c r="D19" s="2" t="s">
        <v>149</v>
      </c>
      <c r="E19" s="2" t="s">
        <v>125</v>
      </c>
      <c r="F19" s="2" t="s">
        <v>126</v>
      </c>
      <c r="G19" s="2" t="s">
        <v>127</v>
      </c>
      <c r="H19" s="2" t="s">
        <v>128</v>
      </c>
      <c r="I19" s="2" t="s">
        <v>129</v>
      </c>
      <c r="J19" s="2" t="s">
        <v>130</v>
      </c>
      <c r="K19" s="8" t="s">
        <v>131</v>
      </c>
      <c r="L19" s="10" t="s">
        <v>132</v>
      </c>
      <c r="M19" s="8" t="s">
        <v>133</v>
      </c>
      <c r="N19" s="8" t="s">
        <v>133</v>
      </c>
      <c r="O19" s="10" t="s">
        <v>134</v>
      </c>
      <c r="P19" s="10" t="s">
        <v>133</v>
      </c>
      <c r="Q19" s="8" t="s">
        <v>135</v>
      </c>
      <c r="R19" s="2" t="s">
        <v>136</v>
      </c>
      <c r="S19" s="2" t="s">
        <v>62</v>
      </c>
      <c r="T19" s="2" t="s">
        <v>137</v>
      </c>
      <c r="U19" s="2">
        <v>150</v>
      </c>
      <c r="V19" s="2">
        <v>50</v>
      </c>
      <c r="W19" s="2">
        <v>3</v>
      </c>
      <c r="X19" s="2">
        <v>4</v>
      </c>
      <c r="Y19" s="2" t="s">
        <v>138</v>
      </c>
      <c r="Z19" s="11" t="s">
        <v>150</v>
      </c>
      <c r="AA19" s="2" t="s">
        <v>140</v>
      </c>
      <c r="AB19" s="11" t="s">
        <v>151</v>
      </c>
      <c r="AC19" s="2" t="s">
        <v>142</v>
      </c>
      <c r="AD19" s="11" t="s">
        <v>143</v>
      </c>
      <c r="AE19" s="2" t="s">
        <v>144</v>
      </c>
      <c r="AF19" s="2" t="s">
        <v>145</v>
      </c>
      <c r="AG19" s="2" t="s">
        <v>146</v>
      </c>
      <c r="AH19" s="2" t="s">
        <v>147</v>
      </c>
      <c r="AI19" s="2">
        <v>6</v>
      </c>
      <c r="AJ19" s="2">
        <v>6</v>
      </c>
      <c r="AK19" s="2" t="s">
        <v>140</v>
      </c>
      <c r="AL19" s="2" t="s">
        <v>148</v>
      </c>
    </row>
    <row r="20" spans="1:38" x14ac:dyDescent="0.25">
      <c r="A20" s="2" t="s">
        <v>122</v>
      </c>
      <c r="B20" s="2" t="s">
        <v>84</v>
      </c>
      <c r="C20" s="2" t="s">
        <v>123</v>
      </c>
      <c r="D20" s="2" t="s">
        <v>124</v>
      </c>
      <c r="E20" s="2" t="s">
        <v>125</v>
      </c>
      <c r="F20" s="2" t="s">
        <v>126</v>
      </c>
      <c r="G20" s="2" t="s">
        <v>127</v>
      </c>
      <c r="H20" s="2" t="s">
        <v>128</v>
      </c>
      <c r="I20" s="2" t="s">
        <v>129</v>
      </c>
      <c r="J20" s="2" t="s">
        <v>130</v>
      </c>
      <c r="K20" s="8" t="s">
        <v>131</v>
      </c>
      <c r="L20" s="10" t="s">
        <v>132</v>
      </c>
      <c r="M20" s="8" t="s">
        <v>133</v>
      </c>
      <c r="N20" s="8" t="s">
        <v>133</v>
      </c>
      <c r="O20" s="10" t="s">
        <v>134</v>
      </c>
      <c r="P20" s="10" t="s">
        <v>133</v>
      </c>
      <c r="Q20" s="8" t="s">
        <v>135</v>
      </c>
      <c r="R20" s="2" t="s">
        <v>136</v>
      </c>
      <c r="S20" s="2" t="s">
        <v>64</v>
      </c>
      <c r="T20" s="2" t="s">
        <v>137</v>
      </c>
      <c r="U20" s="2">
        <v>50</v>
      </c>
      <c r="V20" s="2">
        <v>50</v>
      </c>
      <c r="W20" s="2">
        <v>1</v>
      </c>
      <c r="X20" s="2">
        <v>2</v>
      </c>
      <c r="Y20" s="2" t="s">
        <v>138</v>
      </c>
      <c r="Z20" s="11" t="s">
        <v>150</v>
      </c>
      <c r="AA20" s="2" t="s">
        <v>152</v>
      </c>
      <c r="AB20" s="11" t="s">
        <v>154</v>
      </c>
      <c r="AC20" s="2" t="s">
        <v>142</v>
      </c>
      <c r="AD20" s="11" t="s">
        <v>143</v>
      </c>
      <c r="AE20" s="2" t="s">
        <v>144</v>
      </c>
      <c r="AF20" s="2" t="s">
        <v>145</v>
      </c>
      <c r="AG20" s="2" t="s">
        <v>146</v>
      </c>
      <c r="AH20" s="2" t="s">
        <v>147</v>
      </c>
      <c r="AI20" s="2">
        <v>9</v>
      </c>
      <c r="AJ20" s="2">
        <v>9</v>
      </c>
      <c r="AK20" s="2" t="s">
        <v>152</v>
      </c>
      <c r="AL20" s="2" t="s">
        <v>148</v>
      </c>
    </row>
    <row r="22" spans="1:38" x14ac:dyDescent="0.25">
      <c r="W22" s="2">
        <f>29647*112%</f>
        <v>33204.640000000007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opLeftCell="C1" workbookViewId="0">
      <selection activeCell="M6" sqref="M6"/>
    </sheetView>
  </sheetViews>
  <sheetFormatPr defaultRowHeight="15" x14ac:dyDescent="0.25"/>
  <cols>
    <col min="1" max="1" width="17.85546875" bestFit="1" customWidth="1"/>
    <col min="2" max="2" width="19.42578125" bestFit="1" customWidth="1"/>
    <col min="3" max="3" width="25.140625" bestFit="1" customWidth="1"/>
    <col min="4" max="4" width="11" style="6" bestFit="1" customWidth="1"/>
    <col min="5" max="5" width="12" style="6" bestFit="1" customWidth="1"/>
    <col min="6" max="6" width="10.42578125" bestFit="1" customWidth="1"/>
    <col min="7" max="7" width="9" bestFit="1" customWidth="1"/>
    <col min="8" max="8" width="8.7109375" bestFit="1" customWidth="1"/>
    <col min="9" max="9" width="13.5703125" bestFit="1" customWidth="1"/>
    <col min="10" max="10" width="4.5703125" bestFit="1" customWidth="1"/>
    <col min="11" max="12" width="6.140625" bestFit="1" customWidth="1"/>
    <col min="13" max="13" width="4.85546875" bestFit="1" customWidth="1"/>
    <col min="14" max="14" width="11.85546875" bestFit="1" customWidth="1"/>
    <col min="15" max="15" width="5" bestFit="1" customWidth="1"/>
    <col min="16" max="16" width="12.5703125" bestFit="1" customWidth="1"/>
    <col min="17" max="17" width="15.140625" style="6" bestFit="1" customWidth="1"/>
    <col min="18" max="18" width="11.7109375" style="6" bestFit="1" customWidth="1"/>
    <col min="19" max="19" width="11.42578125" style="6" bestFit="1" customWidth="1"/>
    <col min="20" max="20" width="11.42578125" style="6" customWidth="1"/>
    <col min="21" max="21" width="14.85546875" bestFit="1" customWidth="1"/>
    <col min="22" max="22" width="16.42578125" bestFit="1" customWidth="1"/>
    <col min="23" max="23" width="16.5703125" bestFit="1" customWidth="1"/>
    <col min="24" max="24" width="14" bestFit="1" customWidth="1"/>
    <col min="25" max="25" width="16.28515625" bestFit="1" customWidth="1"/>
    <col min="26" max="26" width="21.5703125" bestFit="1" customWidth="1"/>
  </cols>
  <sheetData>
    <row r="1" spans="1:26" x14ac:dyDescent="0.25">
      <c r="A1" t="s">
        <v>175</v>
      </c>
      <c r="B1" t="s">
        <v>176</v>
      </c>
      <c r="C1" t="s">
        <v>177</v>
      </c>
      <c r="D1" s="6" t="s">
        <v>191</v>
      </c>
      <c r="E1" s="6" t="s">
        <v>192</v>
      </c>
      <c r="F1" t="s">
        <v>96</v>
      </c>
      <c r="G1" t="s">
        <v>180</v>
      </c>
      <c r="H1" t="s">
        <v>181</v>
      </c>
      <c r="I1" t="s">
        <v>185</v>
      </c>
      <c r="J1" t="s">
        <v>110</v>
      </c>
      <c r="K1" t="s">
        <v>118</v>
      </c>
      <c r="L1" t="s">
        <v>119</v>
      </c>
      <c r="M1" t="s">
        <v>120</v>
      </c>
      <c r="N1" t="s">
        <v>186</v>
      </c>
      <c r="O1" t="s">
        <v>121</v>
      </c>
      <c r="P1" t="s">
        <v>187</v>
      </c>
      <c r="Q1" s="6" t="s">
        <v>193</v>
      </c>
      <c r="R1" s="6" t="s">
        <v>195</v>
      </c>
      <c r="S1" s="6" t="s">
        <v>194</v>
      </c>
      <c r="T1" s="6" t="s">
        <v>112</v>
      </c>
      <c r="U1" t="s">
        <v>189</v>
      </c>
      <c r="V1" t="s">
        <v>190</v>
      </c>
      <c r="W1" t="s">
        <v>196</v>
      </c>
      <c r="X1" t="s">
        <v>197</v>
      </c>
      <c r="Y1" t="s">
        <v>198</v>
      </c>
      <c r="Z1" t="s">
        <v>0</v>
      </c>
    </row>
    <row r="2" spans="1:26" x14ac:dyDescent="0.25">
      <c r="A2">
        <v>2</v>
      </c>
      <c r="B2" s="1">
        <v>45976</v>
      </c>
      <c r="C2" t="s">
        <v>202</v>
      </c>
      <c r="D2" s="6" t="s">
        <v>148</v>
      </c>
      <c r="E2" s="6" t="s">
        <v>148</v>
      </c>
      <c r="F2" s="1">
        <v>46006</v>
      </c>
      <c r="H2">
        <v>20</v>
      </c>
      <c r="I2" s="3">
        <v>8300</v>
      </c>
      <c r="J2" s="4">
        <v>0.18</v>
      </c>
      <c r="K2" s="4">
        <v>0.09</v>
      </c>
      <c r="L2" s="4">
        <v>0.09</v>
      </c>
      <c r="M2" s="4">
        <v>0.18</v>
      </c>
      <c r="N2" s="3">
        <v>1494</v>
      </c>
      <c r="O2" s="4">
        <v>0</v>
      </c>
      <c r="P2">
        <v>0</v>
      </c>
      <c r="Q2" s="6">
        <v>0</v>
      </c>
      <c r="R2" s="6">
        <v>0</v>
      </c>
      <c r="S2" s="6">
        <v>0</v>
      </c>
      <c r="U2" t="s">
        <v>204</v>
      </c>
      <c r="V2" t="s">
        <v>148</v>
      </c>
      <c r="W2" t="s">
        <v>135</v>
      </c>
      <c r="X2" t="s">
        <v>135</v>
      </c>
      <c r="Y2" t="s">
        <v>148</v>
      </c>
      <c r="Z2" t="s">
        <v>12</v>
      </c>
    </row>
    <row r="3" spans="1:26" x14ac:dyDescent="0.25">
      <c r="A3">
        <v>1</v>
      </c>
      <c r="B3" s="1">
        <v>45976</v>
      </c>
      <c r="C3" t="s">
        <v>206</v>
      </c>
      <c r="D3" s="6" t="s">
        <v>210</v>
      </c>
      <c r="E3" s="7">
        <v>45978</v>
      </c>
      <c r="F3" s="1">
        <v>46008</v>
      </c>
      <c r="H3">
        <v>10</v>
      </c>
      <c r="I3" s="3">
        <v>3800</v>
      </c>
      <c r="J3" s="4">
        <v>0.05</v>
      </c>
      <c r="K3" s="5">
        <v>2.5000000000000001E-2</v>
      </c>
      <c r="L3" s="5">
        <v>2.5000000000000001E-2</v>
      </c>
      <c r="M3" s="4">
        <v>0.05</v>
      </c>
      <c r="N3">
        <v>190</v>
      </c>
      <c r="O3" s="4">
        <v>0</v>
      </c>
      <c r="P3">
        <v>0</v>
      </c>
      <c r="Q3" s="6">
        <v>60000</v>
      </c>
      <c r="R3" s="6">
        <v>50000</v>
      </c>
      <c r="S3" s="6">
        <v>10000</v>
      </c>
      <c r="U3" t="s">
        <v>209</v>
      </c>
      <c r="V3" t="s">
        <v>147</v>
      </c>
      <c r="W3" t="s">
        <v>133</v>
      </c>
      <c r="X3" t="s">
        <v>133</v>
      </c>
      <c r="Y3" t="s">
        <v>148</v>
      </c>
      <c r="Z3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topLeftCell="M1" workbookViewId="0">
      <selection activeCell="X20" sqref="X20"/>
    </sheetView>
  </sheetViews>
  <sheetFormatPr defaultRowHeight="15" x14ac:dyDescent="0.25"/>
  <cols>
    <col min="1" max="1" width="17.85546875" bestFit="1" customWidth="1"/>
    <col min="2" max="2" width="19.42578125" bestFit="1" customWidth="1"/>
    <col min="3" max="3" width="25.140625" bestFit="1" customWidth="1"/>
    <col min="4" max="4" width="11" style="6" bestFit="1" customWidth="1"/>
    <col min="5" max="5" width="12" style="6" bestFit="1" customWidth="1"/>
    <col min="6" max="6" width="10.140625" bestFit="1" customWidth="1"/>
    <col min="7" max="7" width="24" bestFit="1" customWidth="1"/>
    <col min="8" max="8" width="9" bestFit="1" customWidth="1"/>
    <col min="9" max="9" width="11.28515625" bestFit="1" customWidth="1"/>
    <col min="10" max="10" width="9" customWidth="1"/>
    <col min="11" max="11" width="8.7109375" bestFit="1" customWidth="1"/>
    <col min="12" max="12" width="5.140625" bestFit="1" customWidth="1"/>
    <col min="13" max="13" width="5" bestFit="1" customWidth="1"/>
    <col min="14" max="14" width="8.7109375" bestFit="1" customWidth="1"/>
    <col min="15" max="15" width="13.5703125" bestFit="1" customWidth="1"/>
    <col min="16" max="16" width="4.5703125" bestFit="1" customWidth="1"/>
    <col min="17" max="18" width="6.140625" bestFit="1" customWidth="1"/>
    <col min="19" max="19" width="4.85546875" bestFit="1" customWidth="1"/>
    <col min="20" max="20" width="11.85546875" bestFit="1" customWidth="1"/>
    <col min="21" max="21" width="5" bestFit="1" customWidth="1"/>
    <col min="22" max="22" width="12.5703125" bestFit="1" customWidth="1"/>
    <col min="23" max="23" width="15.140625" style="6" bestFit="1" customWidth="1"/>
    <col min="24" max="24" width="16.5703125" bestFit="1" customWidth="1"/>
    <col min="25" max="25" width="14" bestFit="1" customWidth="1"/>
    <col min="26" max="26" width="16.28515625" bestFit="1" customWidth="1"/>
    <col min="27" max="27" width="11" bestFit="1" customWidth="1"/>
    <col min="28" max="28" width="10.85546875" bestFit="1" customWidth="1"/>
    <col min="29" max="29" width="21.5703125" bestFit="1" customWidth="1"/>
  </cols>
  <sheetData>
    <row r="1" spans="1:29" x14ac:dyDescent="0.25">
      <c r="A1" t="s">
        <v>175</v>
      </c>
      <c r="B1" t="s">
        <v>176</v>
      </c>
      <c r="C1" t="s">
        <v>177</v>
      </c>
      <c r="D1" s="6" t="s">
        <v>191</v>
      </c>
      <c r="E1" s="6" t="s">
        <v>192</v>
      </c>
      <c r="F1" t="s">
        <v>4</v>
      </c>
      <c r="G1" t="s">
        <v>179</v>
      </c>
      <c r="H1" t="s">
        <v>180</v>
      </c>
      <c r="I1" t="s">
        <v>200</v>
      </c>
      <c r="J1" t="s">
        <v>227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110</v>
      </c>
      <c r="Q1" t="s">
        <v>118</v>
      </c>
      <c r="R1" t="s">
        <v>119</v>
      </c>
      <c r="S1" t="s">
        <v>120</v>
      </c>
      <c r="T1" t="s">
        <v>186</v>
      </c>
      <c r="U1" t="s">
        <v>121</v>
      </c>
      <c r="V1" t="s">
        <v>187</v>
      </c>
      <c r="W1" s="6" t="s">
        <v>193</v>
      </c>
      <c r="X1" t="s">
        <v>196</v>
      </c>
      <c r="Y1" t="s">
        <v>197</v>
      </c>
      <c r="Z1" t="s">
        <v>198</v>
      </c>
      <c r="AA1" t="s">
        <v>199</v>
      </c>
      <c r="AB1" t="s">
        <v>201</v>
      </c>
      <c r="AC1" t="s">
        <v>0</v>
      </c>
    </row>
    <row r="2" spans="1:29" x14ac:dyDescent="0.25">
      <c r="A2">
        <v>2</v>
      </c>
      <c r="B2" s="1">
        <v>45976</v>
      </c>
      <c r="C2" t="s">
        <v>202</v>
      </c>
      <c r="D2" s="6" t="s">
        <v>148</v>
      </c>
      <c r="E2" s="6" t="s">
        <v>148</v>
      </c>
      <c r="F2" t="s">
        <v>82</v>
      </c>
      <c r="G2" t="s">
        <v>81</v>
      </c>
      <c r="I2" s="1">
        <v>45976</v>
      </c>
      <c r="K2">
        <v>20</v>
      </c>
      <c r="L2" t="s">
        <v>203</v>
      </c>
      <c r="M2">
        <v>415</v>
      </c>
      <c r="N2">
        <v>0</v>
      </c>
      <c r="O2" s="3">
        <v>8300</v>
      </c>
      <c r="P2" s="4">
        <v>0.18</v>
      </c>
      <c r="Q2" s="4">
        <v>0.09</v>
      </c>
      <c r="R2" s="4">
        <v>0.09</v>
      </c>
      <c r="S2" s="4">
        <v>0.18</v>
      </c>
      <c r="T2" s="3">
        <v>1494</v>
      </c>
      <c r="U2" s="4">
        <v>0</v>
      </c>
      <c r="V2">
        <v>0</v>
      </c>
      <c r="W2" s="6">
        <v>0</v>
      </c>
      <c r="X2" t="s">
        <v>135</v>
      </c>
      <c r="Y2" t="s">
        <v>135</v>
      </c>
      <c r="Z2" t="s">
        <v>148</v>
      </c>
      <c r="AA2" s="1">
        <v>45976</v>
      </c>
      <c r="AB2" t="s">
        <v>205</v>
      </c>
      <c r="AC2" t="s">
        <v>12</v>
      </c>
    </row>
    <row r="3" spans="1:29" x14ac:dyDescent="0.25">
      <c r="A3">
        <v>1</v>
      </c>
      <c r="B3" s="1">
        <v>45976</v>
      </c>
      <c r="C3" t="s">
        <v>206</v>
      </c>
      <c r="D3" s="6" t="s">
        <v>210</v>
      </c>
      <c r="E3" s="7">
        <v>45978</v>
      </c>
      <c r="F3" t="s">
        <v>69</v>
      </c>
      <c r="G3" t="s">
        <v>68</v>
      </c>
      <c r="I3" s="1">
        <v>45978</v>
      </c>
      <c r="K3">
        <v>10</v>
      </c>
      <c r="L3" t="s">
        <v>203</v>
      </c>
      <c r="M3">
        <v>380</v>
      </c>
      <c r="N3">
        <v>0</v>
      </c>
      <c r="O3" s="3">
        <v>3800</v>
      </c>
      <c r="P3" s="4">
        <v>0.05</v>
      </c>
      <c r="Q3" s="5">
        <v>2.5000000000000001E-2</v>
      </c>
      <c r="R3" s="5">
        <v>2.5000000000000001E-2</v>
      </c>
      <c r="S3" s="4">
        <v>0.05</v>
      </c>
      <c r="T3">
        <v>190</v>
      </c>
      <c r="U3" s="4">
        <v>0</v>
      </c>
      <c r="V3">
        <v>0</v>
      </c>
      <c r="W3" s="6">
        <v>60000</v>
      </c>
      <c r="X3" t="s">
        <v>133</v>
      </c>
      <c r="Y3" t="s">
        <v>133</v>
      </c>
      <c r="Z3" t="s">
        <v>148</v>
      </c>
      <c r="AA3" s="1">
        <v>45976</v>
      </c>
      <c r="AB3" t="s">
        <v>205</v>
      </c>
      <c r="AC3" t="s">
        <v>84</v>
      </c>
    </row>
    <row r="4" spans="1:29" x14ac:dyDescent="0.25">
      <c r="A4">
        <v>1</v>
      </c>
      <c r="B4" s="1">
        <v>45976</v>
      </c>
      <c r="C4" t="s">
        <v>206</v>
      </c>
      <c r="D4" s="6" t="s">
        <v>210</v>
      </c>
      <c r="E4" s="7">
        <v>45978</v>
      </c>
      <c r="F4" t="s">
        <v>74</v>
      </c>
      <c r="G4" t="s">
        <v>14</v>
      </c>
      <c r="I4" s="1">
        <v>45978</v>
      </c>
      <c r="K4">
        <v>30</v>
      </c>
      <c r="L4" t="s">
        <v>203</v>
      </c>
      <c r="M4">
        <v>466</v>
      </c>
      <c r="N4">
        <v>0</v>
      </c>
      <c r="O4" s="3">
        <v>13980</v>
      </c>
      <c r="P4" s="4">
        <v>0.12</v>
      </c>
      <c r="Q4" s="4">
        <v>0.06</v>
      </c>
      <c r="R4" s="4">
        <v>0.06</v>
      </c>
      <c r="S4" s="4">
        <v>0.12</v>
      </c>
      <c r="T4" s="3">
        <v>1677.6</v>
      </c>
      <c r="U4" s="4">
        <v>0</v>
      </c>
      <c r="V4">
        <v>0</v>
      </c>
      <c r="W4" s="6">
        <v>60000</v>
      </c>
      <c r="X4" t="s">
        <v>133</v>
      </c>
      <c r="Y4" t="s">
        <v>133</v>
      </c>
      <c r="Z4" t="s">
        <v>148</v>
      </c>
      <c r="AA4" s="1">
        <v>45976</v>
      </c>
      <c r="AB4" t="s">
        <v>205</v>
      </c>
      <c r="AC4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4"/>
  <sheetViews>
    <sheetView workbookViewId="0">
      <selection activeCell="E20" sqref="E20"/>
    </sheetView>
  </sheetViews>
  <sheetFormatPr defaultRowHeight="15" x14ac:dyDescent="0.25"/>
  <cols>
    <col min="1" max="1" width="17.85546875" bestFit="1" customWidth="1"/>
    <col min="2" max="2" width="19.42578125" bestFit="1" customWidth="1"/>
    <col min="3" max="3" width="25.140625" bestFit="1" customWidth="1"/>
    <col min="4" max="4" width="17.28515625" bestFit="1" customWidth="1"/>
    <col min="5" max="5" width="24" bestFit="1" customWidth="1"/>
    <col min="6" max="6" width="10.140625" bestFit="1" customWidth="1"/>
    <col min="7" max="7" width="9" bestFit="1" customWidth="1"/>
    <col min="8" max="8" width="8.7109375" bestFit="1" customWidth="1"/>
    <col min="9" max="9" width="5.140625" bestFit="1" customWidth="1"/>
    <col min="10" max="10" width="5" bestFit="1" customWidth="1"/>
    <col min="11" max="11" width="8.7109375" bestFit="1" customWidth="1"/>
    <col min="12" max="12" width="13.5703125" bestFit="1" customWidth="1"/>
    <col min="13" max="13" width="4.5703125" bestFit="1" customWidth="1"/>
    <col min="14" max="15" width="6.140625" bestFit="1" customWidth="1"/>
    <col min="16" max="16" width="4.85546875" bestFit="1" customWidth="1"/>
    <col min="17" max="17" width="11.85546875" bestFit="1" customWidth="1"/>
    <col min="18" max="18" width="5" bestFit="1" customWidth="1"/>
    <col min="19" max="19" width="12.5703125" bestFit="1" customWidth="1"/>
    <col min="20" max="20" width="12" bestFit="1" customWidth="1"/>
    <col min="21" max="21" width="14.85546875" bestFit="1" customWidth="1"/>
    <col min="22" max="22" width="16.42578125" bestFit="1" customWidth="1"/>
    <col min="23" max="23" width="11" style="6" bestFit="1" customWidth="1"/>
    <col min="24" max="24" width="12" style="6" bestFit="1" customWidth="1"/>
    <col min="25" max="25" width="10.42578125" bestFit="1" customWidth="1"/>
    <col min="26" max="26" width="15.140625" style="6" bestFit="1" customWidth="1"/>
    <col min="27" max="27" width="11.7109375" style="6" bestFit="1" customWidth="1"/>
    <col min="28" max="28" width="11.42578125" style="6" bestFit="1" customWidth="1"/>
    <col min="29" max="29" width="11.42578125" style="6" customWidth="1"/>
    <col min="30" max="30" width="16.5703125" bestFit="1" customWidth="1"/>
    <col min="31" max="31" width="14" bestFit="1" customWidth="1"/>
    <col min="32" max="32" width="16.28515625" bestFit="1" customWidth="1"/>
    <col min="33" max="33" width="11" bestFit="1" customWidth="1"/>
    <col min="34" max="34" width="11.28515625" bestFit="1" customWidth="1"/>
    <col min="35" max="35" width="10.85546875" bestFit="1" customWidth="1"/>
    <col min="36" max="36" width="21.5703125" bestFit="1" customWidth="1"/>
  </cols>
  <sheetData>
    <row r="1" spans="1:36" x14ac:dyDescent="0.25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4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110</v>
      </c>
      <c r="N1" t="s">
        <v>118</v>
      </c>
      <c r="O1" t="s">
        <v>119</v>
      </c>
      <c r="P1" t="s">
        <v>120</v>
      </c>
      <c r="Q1" t="s">
        <v>186</v>
      </c>
      <c r="R1" t="s">
        <v>121</v>
      </c>
      <c r="S1" t="s">
        <v>187</v>
      </c>
      <c r="T1" t="s">
        <v>188</v>
      </c>
      <c r="U1" t="s">
        <v>189</v>
      </c>
      <c r="V1" t="s">
        <v>190</v>
      </c>
      <c r="W1" s="6" t="s">
        <v>191</v>
      </c>
      <c r="X1" s="6" t="s">
        <v>192</v>
      </c>
      <c r="Y1" t="s">
        <v>96</v>
      </c>
      <c r="Z1" s="6" t="s">
        <v>193</v>
      </c>
      <c r="AA1" s="6" t="s">
        <v>195</v>
      </c>
      <c r="AB1" s="6" t="s">
        <v>194</v>
      </c>
      <c r="AC1" s="6" t="s">
        <v>112</v>
      </c>
      <c r="AD1" t="s">
        <v>196</v>
      </c>
      <c r="AE1" t="s">
        <v>197</v>
      </c>
      <c r="AF1" t="s">
        <v>198</v>
      </c>
      <c r="AG1" t="s">
        <v>199</v>
      </c>
      <c r="AH1" t="s">
        <v>200</v>
      </c>
      <c r="AI1" t="s">
        <v>201</v>
      </c>
      <c r="AJ1" t="s">
        <v>0</v>
      </c>
    </row>
    <row r="2" spans="1:36" x14ac:dyDescent="0.25">
      <c r="A2">
        <v>2</v>
      </c>
      <c r="B2" s="1">
        <v>45976</v>
      </c>
      <c r="C2" t="s">
        <v>202</v>
      </c>
      <c r="D2" t="s">
        <v>148</v>
      </c>
      <c r="E2" t="s">
        <v>81</v>
      </c>
      <c r="F2" t="s">
        <v>82</v>
      </c>
      <c r="H2">
        <v>20</v>
      </c>
      <c r="I2" t="s">
        <v>203</v>
      </c>
      <c r="J2">
        <v>415</v>
      </c>
      <c r="K2">
        <v>0</v>
      </c>
      <c r="L2" s="3">
        <v>8300</v>
      </c>
      <c r="M2" s="4">
        <v>0.18</v>
      </c>
      <c r="N2" s="4">
        <v>0.09</v>
      </c>
      <c r="O2" s="4">
        <v>0.09</v>
      </c>
      <c r="P2" s="4">
        <v>0.18</v>
      </c>
      <c r="Q2" s="3">
        <v>1494</v>
      </c>
      <c r="R2" s="4">
        <v>0</v>
      </c>
      <c r="S2">
        <v>0</v>
      </c>
      <c r="T2" t="s">
        <v>148</v>
      </c>
      <c r="U2" t="s">
        <v>204</v>
      </c>
      <c r="V2" t="s">
        <v>148</v>
      </c>
      <c r="W2" s="6" t="s">
        <v>148</v>
      </c>
      <c r="X2" s="6" t="s">
        <v>148</v>
      </c>
      <c r="Y2" s="1">
        <v>46006</v>
      </c>
      <c r="Z2" s="6">
        <v>0</v>
      </c>
      <c r="AA2" s="6">
        <v>0</v>
      </c>
      <c r="AB2" s="6">
        <v>0</v>
      </c>
      <c r="AD2" t="s">
        <v>135</v>
      </c>
      <c r="AE2" t="s">
        <v>135</v>
      </c>
      <c r="AF2" t="s">
        <v>148</v>
      </c>
      <c r="AG2" s="1">
        <v>45976</v>
      </c>
      <c r="AH2" s="1">
        <v>45976</v>
      </c>
      <c r="AI2" t="s">
        <v>205</v>
      </c>
      <c r="AJ2" t="s">
        <v>12</v>
      </c>
    </row>
    <row r="3" spans="1:36" x14ac:dyDescent="0.25">
      <c r="A3">
        <v>1</v>
      </c>
      <c r="B3" s="1">
        <v>45976</v>
      </c>
      <c r="C3" t="s">
        <v>206</v>
      </c>
      <c r="D3" t="s">
        <v>207</v>
      </c>
      <c r="E3" t="s">
        <v>68</v>
      </c>
      <c r="F3" t="s">
        <v>69</v>
      </c>
      <c r="H3">
        <v>10</v>
      </c>
      <c r="I3" t="s">
        <v>203</v>
      </c>
      <c r="J3">
        <v>380</v>
      </c>
      <c r="K3">
        <v>0</v>
      </c>
      <c r="L3" s="3">
        <v>3800</v>
      </c>
      <c r="M3" s="4">
        <v>0.05</v>
      </c>
      <c r="N3" s="5">
        <v>2.5000000000000001E-2</v>
      </c>
      <c r="O3" s="5">
        <v>2.5000000000000001E-2</v>
      </c>
      <c r="P3" s="4">
        <v>0.05</v>
      </c>
      <c r="Q3">
        <v>190</v>
      </c>
      <c r="R3" s="4">
        <v>0</v>
      </c>
      <c r="S3">
        <v>0</v>
      </c>
      <c r="T3" t="s">
        <v>208</v>
      </c>
      <c r="U3" t="s">
        <v>209</v>
      </c>
      <c r="V3" t="s">
        <v>147</v>
      </c>
      <c r="W3" s="6" t="s">
        <v>210</v>
      </c>
      <c r="X3" s="7">
        <v>45978</v>
      </c>
      <c r="Y3" s="1">
        <v>46008</v>
      </c>
      <c r="Z3" s="6">
        <v>60000</v>
      </c>
      <c r="AA3" s="6">
        <v>50000</v>
      </c>
      <c r="AB3" s="6">
        <v>10000</v>
      </c>
      <c r="AD3" t="s">
        <v>133</v>
      </c>
      <c r="AE3" t="s">
        <v>133</v>
      </c>
      <c r="AF3" t="s">
        <v>148</v>
      </c>
      <c r="AG3" s="1">
        <v>45976</v>
      </c>
      <c r="AH3" s="1">
        <v>45978</v>
      </c>
      <c r="AI3" t="s">
        <v>205</v>
      </c>
      <c r="AJ3" t="s">
        <v>84</v>
      </c>
    </row>
    <row r="4" spans="1:36" x14ac:dyDescent="0.25">
      <c r="A4">
        <v>1</v>
      </c>
      <c r="B4" s="1">
        <v>45976</v>
      </c>
      <c r="C4" t="s">
        <v>206</v>
      </c>
      <c r="D4" t="s">
        <v>207</v>
      </c>
      <c r="E4" t="s">
        <v>14</v>
      </c>
      <c r="F4" t="s">
        <v>74</v>
      </c>
      <c r="H4">
        <v>30</v>
      </c>
      <c r="I4" t="s">
        <v>203</v>
      </c>
      <c r="J4">
        <v>466</v>
      </c>
      <c r="K4">
        <v>0</v>
      </c>
      <c r="L4" s="3">
        <v>13980</v>
      </c>
      <c r="M4" s="4">
        <v>0.12</v>
      </c>
      <c r="N4" s="4">
        <v>0.06</v>
      </c>
      <c r="O4" s="4">
        <v>0.06</v>
      </c>
      <c r="P4" s="4">
        <v>0.12</v>
      </c>
      <c r="Q4" s="3">
        <v>1677.6</v>
      </c>
      <c r="R4" s="4">
        <v>0</v>
      </c>
      <c r="S4">
        <v>0</v>
      </c>
      <c r="T4" t="s">
        <v>208</v>
      </c>
      <c r="U4" t="s">
        <v>209</v>
      </c>
      <c r="V4" t="s">
        <v>147</v>
      </c>
      <c r="W4" s="6" t="s">
        <v>210</v>
      </c>
      <c r="X4" s="7">
        <v>45978</v>
      </c>
      <c r="Y4" s="1">
        <v>46008</v>
      </c>
      <c r="Z4" s="6">
        <v>60000</v>
      </c>
      <c r="AA4" s="6">
        <v>50000</v>
      </c>
      <c r="AB4" s="6">
        <v>10000</v>
      </c>
      <c r="AD4" t="s">
        <v>133</v>
      </c>
      <c r="AE4" t="s">
        <v>133</v>
      </c>
      <c r="AF4" t="s">
        <v>148</v>
      </c>
      <c r="AG4" s="1">
        <v>45976</v>
      </c>
      <c r="AH4" s="1">
        <v>45978</v>
      </c>
      <c r="AI4" t="s">
        <v>205</v>
      </c>
      <c r="AJ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inventory stock</vt:lpstr>
      <vt:lpstr>Customer Sale 1A summary</vt:lpstr>
      <vt:lpstr>Customer sale 1B Sku level</vt:lpstr>
      <vt:lpstr>Customer sale 1</vt:lpstr>
      <vt:lpstr> Vendor Purchase 1A Summary</vt:lpstr>
      <vt:lpstr> Vendor Purchase 1B Sku level</vt:lpstr>
      <vt:lpstr> Vendor 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2025-11-17T06:06:10Z</dcterms:created>
  <dcterms:modified xsi:type="dcterms:W3CDTF">2025-11-17T10:15:30Z</dcterms:modified>
</cp:coreProperties>
</file>